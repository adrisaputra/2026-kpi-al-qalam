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<sst xmlns="http://schemas.openxmlformats.org/spreadsheetml/2006/main" uniqueCount="44">
  <si>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REKAP BULANAN PENILAIAN KPI YAYASAN PENDIDIKAN ALQALAM KENDARI</t>
  </si>
  <si>
    <t>YAYASAN</t>
  </si>
  <si>
    <t>TAHUN 2026</t>
  </si>
  <si>
    <t>No</t>
  </si>
  <si>
    <t>Nama</t>
  </si>
  <si>
    <t>Rapor</t>
  </si>
  <si>
    <t>KPI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</si>
  <si>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</si>
  <si>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</si>
  <si>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</si>
  <si>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</si>
  <si>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</si>
  <si>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</si>
  <si>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</si>
  <si>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</si>
  <si>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</si>
  <si>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</si>
  <si>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</si>
  <si>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</si>
  <si>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Rata-rata Tahunan</t>
  </si>
  <si>
    <t>Predikat</t>
  </si>
  <si>
    <t>Tukin</t>
  </si>
  <si>
    <t>Besaran Tukin</t>
  </si>
  <si>
    <t>Tukin Diterima</t>
  </si>
  <si>
    <t>Abdul Syukur, S.Pt</t>
  </si>
  <si>
    <t>Azlansyah</t>
  </si>
  <si>
    <t>Cici Intan Permata Sari, S.Si.</t>
  </si>
  <si>
    <t>Dewi Sartika, S.Pd.</t>
  </si>
  <si>
    <t>Dr. Hj. Erni Qomariyah, M.Si.,M.Pd.</t>
  </si>
  <si>
    <t>Fadhilah Nur Amalyah, S.E</t>
  </si>
  <si>
    <t>Harniati, S.P.</t>
  </si>
  <si>
    <t>Israwati, S.Pd.I.</t>
  </si>
  <si>
    <t>La Ode Asbar, S.Hi.</t>
  </si>
  <si>
    <t>Muh. Rizky Putra Polopadang</t>
  </si>
  <si>
    <t>Restu Asih Utami, S.Si.</t>
  </si>
  <si>
    <t>Rina, S.Si.</t>
  </si>
  <si>
    <t>Salmaydah, S.Sos.</t>
  </si>
  <si>
    <t>Silmasari Ayu Safilda, S.Pd.</t>
  </si>
  <si>
    <t>Sri Mahligai Renggala, S.Si.</t>
  </si>
  <si>
    <t>Subur, SE</t>
  </si>
  <si>
    <t>Wa Muni, S.I.K.</t>
  </si>
  <si>
    <t>Wa Ode Hasriyanti, SE.,M.Pd.</t>
  </si>
  <si>
    <t>Wa Ode Sri Mustika, S.E.</t>
  </si>
  <si>
    <t>Zuhaidah Karimah, A.Md. Ars.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</si>
</sst>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3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25"/>
  <sheetViews>
    <sheetView tabSelected="1" workbookViewId="0" showGridLines="true" showRowColHeaders="1">
      <selection activeCell="U5" sqref="U5:U25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8" customWidth="true" style="0"/>
    <col min="4" max="4" width="8" customWidth="true" style="0"/>
    <col min="5" max="5" width="8" customWidth="true" style="0"/>
    <col min="6" max="6" width="8" customWidth="true" style="0"/>
    <col min="7" max="7" width="8" customWidth="true" style="0"/>
    <col min="8" max="8" width="8" customWidth="true" style="0"/>
    <col min="9" max="9" width="8" customWidth="true" style="0"/>
    <col min="10" max="10" width="8" customWidth="true" style="0"/>
    <col min="11" max="11" width="8" customWidth="true" style="0"/>
    <col min="12" max="12" width="8" customWidth="true" style="0"/>
    <col min="13" max="13" width="8" customWidth="true" style="0"/>
    <col min="14" max="14" width="8" customWidth="true" style="0"/>
    <col min="15" max="15" width="8" customWidth="true" style="0"/>
    <col min="16" max="16" width="8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</cols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</row>
    <row r="6" spans="1:21">
      <c r="A6" s="5">
        <v>1</v>
      </c>
      <c r="B6" s="3" t="s">
        <v>24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 t="e">
        <f>AVERAGE(E6:P6)</f>
        <v>#DIV/0!</v>
      </c>
      <c r="R6" s="3" t="e">
        <f>IF(Q6&gt;=90,"Sangat Baik",IF(Q6&gt;=80,"Baik",IF(Q6&gt;=70,"Cukup",IF(Q6&gt;=60,"Kurang","Perlu Pembinaan"))))</f>
        <v>#DIV/0!</v>
      </c>
      <c r="S6" s="3" t="e">
        <f>IF(Q6&gt;=90,100%,IF(Q6&gt;=80,90%,IF(Q6&gt;=70,80%,IF(Q6&gt;=60,70%,IF(Q6&gt;=50,60%,IF(Q6&gt;=40,50%,IF(Q6&gt;=30,40%,30%)))))))</f>
        <v>#DIV/0!</v>
      </c>
      <c r="T6" s="4">
        <v>200000</v>
      </c>
      <c r="U6" s="6" t="e">
        <f>T6*S6</f>
        <v>#DIV/0!</v>
      </c>
    </row>
    <row r="7" spans="1:21">
      <c r="A7" s="5">
        <v>2</v>
      </c>
      <c r="B7" s="3" t="s">
        <v>25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 t="e">
        <f>AVERAGE(E7:P7)</f>
        <v>#DIV/0!</v>
      </c>
      <c r="R7" s="3" t="e">
        <f>IF(Q7&gt;=90,"Sangat Baik",IF(Q7&gt;=80,"Baik",IF(Q7&gt;=70,"Cukup",IF(Q7&gt;=60,"Kurang","Perlu Pembinaan"))))</f>
        <v>#DIV/0!</v>
      </c>
      <c r="S7" s="3" t="e">
        <f>IF(Q7&gt;=90,100%,IF(Q7&gt;=80,90%,IF(Q7&gt;=70,80%,IF(Q7&gt;=60,70%,IF(Q7&gt;=50,60%,IF(Q7&gt;=40,50%,IF(Q7&gt;=30,40%,30%)))))))</f>
        <v>#DIV/0!</v>
      </c>
      <c r="T7" s="4">
        <v>200000</v>
      </c>
      <c r="U7" s="6" t="e">
        <f>T7*S7</f>
        <v>#DIV/0!</v>
      </c>
    </row>
    <row r="8" spans="1:21">
      <c r="A8" s="5">
        <v>3</v>
      </c>
      <c r="B8" s="3" t="s">
        <v>26</v>
      </c>
      <c r="C8" s="3">
        <v>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 t="e">
        <f>AVERAGE(E8:P8)</f>
        <v>#DIV/0!</v>
      </c>
      <c r="R8" s="3" t="e">
        <f>IF(Q8&gt;=90,"Sangat Baik",IF(Q8&gt;=80,"Baik",IF(Q8&gt;=70,"Cukup",IF(Q8&gt;=60,"Kurang","Perlu Pembinaan"))))</f>
        <v>#DIV/0!</v>
      </c>
      <c r="S8" s="3" t="e">
        <f>IF(Q8&gt;=90,100%,IF(Q8&gt;=80,90%,IF(Q8&gt;=70,80%,IF(Q8&gt;=60,70%,IF(Q8&gt;=50,60%,IF(Q8&gt;=40,50%,IF(Q8&gt;=30,40%,30%)))))))</f>
        <v>#DIV/0!</v>
      </c>
      <c r="T8" s="4">
        <v>200000</v>
      </c>
      <c r="U8" s="6" t="e">
        <f>T8*S8</f>
        <v>#DIV/0!</v>
      </c>
    </row>
    <row r="9" spans="1:21">
      <c r="A9" s="5">
        <v>4</v>
      </c>
      <c r="B9" s="3" t="s">
        <v>27</v>
      </c>
      <c r="C9" s="3">
        <v>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 t="e">
        <f>AVERAGE(E9:P9)</f>
        <v>#DIV/0!</v>
      </c>
      <c r="R9" s="3" t="e">
        <f>IF(Q9&gt;=90,"Sangat Baik",IF(Q9&gt;=80,"Baik",IF(Q9&gt;=70,"Cukup",IF(Q9&gt;=60,"Kurang","Perlu Pembinaan"))))</f>
        <v>#DIV/0!</v>
      </c>
      <c r="S9" s="3" t="e">
        <f>IF(Q9&gt;=90,100%,IF(Q9&gt;=80,90%,IF(Q9&gt;=70,80%,IF(Q9&gt;=60,70%,IF(Q9&gt;=50,60%,IF(Q9&gt;=40,50%,IF(Q9&gt;=30,40%,30%)))))))</f>
        <v>#DIV/0!</v>
      </c>
      <c r="T9" s="4">
        <v>200000</v>
      </c>
      <c r="U9" s="6" t="e">
        <f>T9*S9</f>
        <v>#DIV/0!</v>
      </c>
    </row>
    <row r="10" spans="1:21">
      <c r="A10" s="5">
        <v>5</v>
      </c>
      <c r="B10" s="3" t="s">
        <v>28</v>
      </c>
      <c r="C10" s="3">
        <v>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 t="e">
        <f>AVERAGE(E10:P10)</f>
        <v>#DIV/0!</v>
      </c>
      <c r="R10" s="3" t="e">
        <f>IF(Q10&gt;=90,"Sangat Baik",IF(Q10&gt;=80,"Baik",IF(Q10&gt;=70,"Cukup",IF(Q10&gt;=60,"Kurang","Perlu Pembinaan"))))</f>
        <v>#DIV/0!</v>
      </c>
      <c r="S10" s="3" t="e">
        <f>IF(Q10&gt;=90,100%,IF(Q10&gt;=80,90%,IF(Q10&gt;=70,80%,IF(Q10&gt;=60,70%,IF(Q10&gt;=50,60%,IF(Q10&gt;=40,50%,IF(Q10&gt;=30,40%,30%)))))))</f>
        <v>#DIV/0!</v>
      </c>
      <c r="T10" s="4">
        <v>200000</v>
      </c>
      <c r="U10" s="6" t="e">
        <f>T10*S10</f>
        <v>#DIV/0!</v>
      </c>
    </row>
    <row r="11" spans="1:21">
      <c r="A11" s="5">
        <v>6</v>
      </c>
      <c r="B11" s="3" t="s">
        <v>29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 t="e">
        <f>AVERAGE(E11:P11)</f>
        <v>#DIV/0!</v>
      </c>
      <c r="R11" s="3" t="e">
        <f>IF(Q11&gt;=90,"Sangat Baik",IF(Q11&gt;=80,"Baik",IF(Q11&gt;=70,"Cukup",IF(Q11&gt;=60,"Kurang","Perlu Pembinaan"))))</f>
        <v>#DIV/0!</v>
      </c>
      <c r="S11" s="3" t="e">
        <f>IF(Q11&gt;=90,100%,IF(Q11&gt;=80,90%,IF(Q11&gt;=70,80%,IF(Q11&gt;=60,70%,IF(Q11&gt;=50,60%,IF(Q11&gt;=40,50%,IF(Q11&gt;=30,40%,30%)))))))</f>
        <v>#DIV/0!</v>
      </c>
      <c r="T11" s="4">
        <v>200000</v>
      </c>
      <c r="U11" s="6" t="e">
        <f>T11*S11</f>
        <v>#DIV/0!</v>
      </c>
    </row>
    <row r="12" spans="1:21">
      <c r="A12" s="5">
        <v>7</v>
      </c>
      <c r="B12" s="3" t="s">
        <v>30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 t="e">
        <f>AVERAGE(E12:P12)</f>
        <v>#DIV/0!</v>
      </c>
      <c r="R12" s="3" t="e">
        <f>IF(Q12&gt;=90,"Sangat Baik",IF(Q12&gt;=80,"Baik",IF(Q12&gt;=70,"Cukup",IF(Q12&gt;=60,"Kurang","Perlu Pembinaan"))))</f>
        <v>#DIV/0!</v>
      </c>
      <c r="S12" s="3" t="e">
        <f>IF(Q12&gt;=90,100%,IF(Q12&gt;=80,90%,IF(Q12&gt;=70,80%,IF(Q12&gt;=60,70%,IF(Q12&gt;=50,60%,IF(Q12&gt;=40,50%,IF(Q12&gt;=30,40%,30%)))))))</f>
        <v>#DIV/0!</v>
      </c>
      <c r="T12" s="4">
        <v>200000</v>
      </c>
      <c r="U12" s="6" t="e">
        <f>T12*S12</f>
        <v>#DIV/0!</v>
      </c>
    </row>
    <row r="13" spans="1:21">
      <c r="A13" s="5">
        <v>8</v>
      </c>
      <c r="B13" s="3" t="s">
        <v>31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 t="e">
        <f>AVERAGE(E13:P13)</f>
        <v>#DIV/0!</v>
      </c>
      <c r="R13" s="3" t="e">
        <f>IF(Q13&gt;=90,"Sangat Baik",IF(Q13&gt;=80,"Baik",IF(Q13&gt;=70,"Cukup",IF(Q13&gt;=60,"Kurang","Perlu Pembinaan"))))</f>
        <v>#DIV/0!</v>
      </c>
      <c r="S13" s="3" t="e">
        <f>IF(Q13&gt;=90,100%,IF(Q13&gt;=80,90%,IF(Q13&gt;=70,80%,IF(Q13&gt;=60,70%,IF(Q13&gt;=50,60%,IF(Q13&gt;=40,50%,IF(Q13&gt;=30,40%,30%)))))))</f>
        <v>#DIV/0!</v>
      </c>
      <c r="T13" s="4">
        <v>200000</v>
      </c>
      <c r="U13" s="6" t="e">
        <f>T13*S13</f>
        <v>#DIV/0!</v>
      </c>
    </row>
    <row r="14" spans="1:21">
      <c r="A14" s="5">
        <v>9</v>
      </c>
      <c r="B14" s="3" t="s">
        <v>32</v>
      </c>
      <c r="C14" s="3">
        <v>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 t="e">
        <f>AVERAGE(E14:P14)</f>
        <v>#DIV/0!</v>
      </c>
      <c r="R14" s="3" t="e">
        <f>IF(Q14&gt;=90,"Sangat Baik",IF(Q14&gt;=80,"Baik",IF(Q14&gt;=70,"Cukup",IF(Q14&gt;=60,"Kurang","Perlu Pembinaan"))))</f>
        <v>#DIV/0!</v>
      </c>
      <c r="S14" s="3" t="e">
        <f>IF(Q14&gt;=90,100%,IF(Q14&gt;=80,90%,IF(Q14&gt;=70,80%,IF(Q14&gt;=60,70%,IF(Q14&gt;=50,60%,IF(Q14&gt;=40,50%,IF(Q14&gt;=30,40%,30%)))))))</f>
        <v>#DIV/0!</v>
      </c>
      <c r="T14" s="4">
        <v>200000</v>
      </c>
      <c r="U14" s="6" t="e">
        <f>T14*S14</f>
        <v>#DIV/0!</v>
      </c>
    </row>
    <row r="15" spans="1:21">
      <c r="A15" s="5">
        <v>10</v>
      </c>
      <c r="B15" s="3" t="s">
        <v>33</v>
      </c>
      <c r="C15" s="3">
        <v>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 t="e">
        <f>AVERAGE(E15:P15)</f>
        <v>#DIV/0!</v>
      </c>
      <c r="R15" s="3" t="e">
        <f>IF(Q15&gt;=90,"Sangat Baik",IF(Q15&gt;=80,"Baik",IF(Q15&gt;=70,"Cukup",IF(Q15&gt;=60,"Kurang","Perlu Pembinaan"))))</f>
        <v>#DIV/0!</v>
      </c>
      <c r="S15" s="3" t="e">
        <f>IF(Q15&gt;=90,100%,IF(Q15&gt;=80,90%,IF(Q15&gt;=70,80%,IF(Q15&gt;=60,70%,IF(Q15&gt;=50,60%,IF(Q15&gt;=40,50%,IF(Q15&gt;=30,40%,30%)))))))</f>
        <v>#DIV/0!</v>
      </c>
      <c r="T15" s="4">
        <v>200000</v>
      </c>
      <c r="U15" s="6" t="e">
        <f>T15*S15</f>
        <v>#DIV/0!</v>
      </c>
    </row>
    <row r="16" spans="1:21">
      <c r="A16" s="5">
        <v>11</v>
      </c>
      <c r="B16" s="3" t="s">
        <v>34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 t="e">
        <f>AVERAGE(E16:P16)</f>
        <v>#DIV/0!</v>
      </c>
      <c r="R16" s="3" t="e">
        <f>IF(Q16&gt;=90,"Sangat Baik",IF(Q16&gt;=80,"Baik",IF(Q16&gt;=70,"Cukup",IF(Q16&gt;=60,"Kurang","Perlu Pembinaan"))))</f>
        <v>#DIV/0!</v>
      </c>
      <c r="S16" s="3" t="e">
        <f>IF(Q16&gt;=90,100%,IF(Q16&gt;=80,90%,IF(Q16&gt;=70,80%,IF(Q16&gt;=60,70%,IF(Q16&gt;=50,60%,IF(Q16&gt;=40,50%,IF(Q16&gt;=30,40%,30%)))))))</f>
        <v>#DIV/0!</v>
      </c>
      <c r="T16" s="4">
        <v>200000</v>
      </c>
      <c r="U16" s="6" t="e">
        <f>T16*S16</f>
        <v>#DIV/0!</v>
      </c>
    </row>
    <row r="17" spans="1:21">
      <c r="A17" s="5">
        <v>12</v>
      </c>
      <c r="B17" s="3" t="s">
        <v>35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 t="e">
        <f>AVERAGE(E17:P17)</f>
        <v>#DIV/0!</v>
      </c>
      <c r="R17" s="3" t="e">
        <f>IF(Q17&gt;=90,"Sangat Baik",IF(Q17&gt;=80,"Baik",IF(Q17&gt;=70,"Cukup",IF(Q17&gt;=60,"Kurang","Perlu Pembinaan"))))</f>
        <v>#DIV/0!</v>
      </c>
      <c r="S17" s="3" t="e">
        <f>IF(Q17&gt;=90,100%,IF(Q17&gt;=80,90%,IF(Q17&gt;=70,80%,IF(Q17&gt;=60,70%,IF(Q17&gt;=50,60%,IF(Q17&gt;=40,50%,IF(Q17&gt;=30,40%,30%)))))))</f>
        <v>#DIV/0!</v>
      </c>
      <c r="T17" s="4">
        <v>200000</v>
      </c>
      <c r="U17" s="6" t="e">
        <f>T17*S17</f>
        <v>#DIV/0!</v>
      </c>
    </row>
    <row r="18" spans="1:21">
      <c r="A18" s="5">
        <v>13</v>
      </c>
      <c r="B18" s="3" t="s">
        <v>36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 t="e">
        <f>AVERAGE(E18:P18)</f>
        <v>#DIV/0!</v>
      </c>
      <c r="R18" s="3" t="e">
        <f>IF(Q18&gt;=90,"Sangat Baik",IF(Q18&gt;=80,"Baik",IF(Q18&gt;=70,"Cukup",IF(Q18&gt;=60,"Kurang","Perlu Pembinaan"))))</f>
        <v>#DIV/0!</v>
      </c>
      <c r="S18" s="3" t="e">
        <f>IF(Q18&gt;=90,100%,IF(Q18&gt;=80,90%,IF(Q18&gt;=70,80%,IF(Q18&gt;=60,70%,IF(Q18&gt;=50,60%,IF(Q18&gt;=40,50%,IF(Q18&gt;=30,40%,30%)))))))</f>
        <v>#DIV/0!</v>
      </c>
      <c r="T18" s="4">
        <v>200000</v>
      </c>
      <c r="U18" s="6" t="e">
        <f>T18*S18</f>
        <v>#DIV/0!</v>
      </c>
    </row>
    <row r="19" spans="1:21">
      <c r="A19" s="5">
        <v>14</v>
      </c>
      <c r="B19" s="3" t="s">
        <v>37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 t="e">
        <f>AVERAGE(E19:P19)</f>
        <v>#DIV/0!</v>
      </c>
      <c r="R19" s="3" t="e">
        <f>IF(Q19&gt;=90,"Sangat Baik",IF(Q19&gt;=80,"Baik",IF(Q19&gt;=70,"Cukup",IF(Q19&gt;=60,"Kurang","Perlu Pembinaan"))))</f>
        <v>#DIV/0!</v>
      </c>
      <c r="S19" s="3" t="e">
        <f>IF(Q19&gt;=90,100%,IF(Q19&gt;=80,90%,IF(Q19&gt;=70,80%,IF(Q19&gt;=60,70%,IF(Q19&gt;=50,60%,IF(Q19&gt;=40,50%,IF(Q19&gt;=30,40%,30%)))))))</f>
        <v>#DIV/0!</v>
      </c>
      <c r="T19" s="4">
        <v>200000</v>
      </c>
      <c r="U19" s="6" t="e">
        <f>T19*S19</f>
        <v>#DIV/0!</v>
      </c>
    </row>
    <row r="20" spans="1:21">
      <c r="A20" s="5">
        <v>15</v>
      </c>
      <c r="B20" s="3" t="s">
        <v>38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 t="e">
        <f>AVERAGE(E20:P20)</f>
        <v>#DIV/0!</v>
      </c>
      <c r="R20" s="3" t="e">
        <f>IF(Q20&gt;=90,"Sangat Baik",IF(Q20&gt;=80,"Baik",IF(Q20&gt;=70,"Cukup",IF(Q20&gt;=60,"Kurang","Perlu Pembinaan"))))</f>
        <v>#DIV/0!</v>
      </c>
      <c r="S20" s="3" t="e">
        <f>IF(Q20&gt;=90,100%,IF(Q20&gt;=80,90%,IF(Q20&gt;=70,80%,IF(Q20&gt;=60,70%,IF(Q20&gt;=50,60%,IF(Q20&gt;=40,50%,IF(Q20&gt;=30,40%,30%)))))))</f>
        <v>#DIV/0!</v>
      </c>
      <c r="T20" s="4">
        <v>200000</v>
      </c>
      <c r="U20" s="6" t="e">
        <f>T20*S20</f>
        <v>#DIV/0!</v>
      </c>
    </row>
    <row r="21" spans="1:21">
      <c r="A21" s="5">
        <v>16</v>
      </c>
      <c r="B21" s="3" t="s">
        <v>39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 t="e">
        <f>AVERAGE(E21:P21)</f>
        <v>#DIV/0!</v>
      </c>
      <c r="R21" s="3" t="e">
        <f>IF(Q21&gt;=90,"Sangat Baik",IF(Q21&gt;=80,"Baik",IF(Q21&gt;=70,"Cukup",IF(Q21&gt;=60,"Kurang","Perlu Pembinaan"))))</f>
        <v>#DIV/0!</v>
      </c>
      <c r="S21" s="3" t="e">
        <f>IF(Q21&gt;=90,100%,IF(Q21&gt;=80,90%,IF(Q21&gt;=70,80%,IF(Q21&gt;=60,70%,IF(Q21&gt;=50,60%,IF(Q21&gt;=40,50%,IF(Q21&gt;=30,40%,30%)))))))</f>
        <v>#DIV/0!</v>
      </c>
      <c r="T21" s="4">
        <v>200000</v>
      </c>
      <c r="U21" s="6" t="e">
        <f>T21*S21</f>
        <v>#DIV/0!</v>
      </c>
    </row>
    <row r="22" spans="1:21">
      <c r="A22" s="5">
        <v>17</v>
      </c>
      <c r="B22" s="3" t="s">
        <v>40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 t="e">
        <f>AVERAGE(E22:P22)</f>
        <v>#DIV/0!</v>
      </c>
      <c r="R22" s="3" t="e">
        <f>IF(Q22&gt;=90,"Sangat Baik",IF(Q22&gt;=80,"Baik",IF(Q22&gt;=70,"Cukup",IF(Q22&gt;=60,"Kurang","Perlu Pembinaan"))))</f>
        <v>#DIV/0!</v>
      </c>
      <c r="S22" s="3" t="e">
        <f>IF(Q22&gt;=90,100%,IF(Q22&gt;=80,90%,IF(Q22&gt;=70,80%,IF(Q22&gt;=60,70%,IF(Q22&gt;=50,60%,IF(Q22&gt;=40,50%,IF(Q22&gt;=30,40%,30%)))))))</f>
        <v>#DIV/0!</v>
      </c>
      <c r="T22" s="4">
        <v>200000</v>
      </c>
      <c r="U22" s="6" t="e">
        <f>T22*S22</f>
        <v>#DIV/0!</v>
      </c>
    </row>
    <row r="23" spans="1:21">
      <c r="A23" s="5">
        <v>18</v>
      </c>
      <c r="B23" s="3" t="s">
        <v>41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 t="e">
        <f>AVERAGE(E23:P23)</f>
        <v>#DIV/0!</v>
      </c>
      <c r="R23" s="3" t="e">
        <f>IF(Q23&gt;=90,"Sangat Baik",IF(Q23&gt;=80,"Baik",IF(Q23&gt;=70,"Cukup",IF(Q23&gt;=60,"Kurang","Perlu Pembinaan"))))</f>
        <v>#DIV/0!</v>
      </c>
      <c r="S23" s="3" t="e">
        <f>IF(Q23&gt;=90,100%,IF(Q23&gt;=80,90%,IF(Q23&gt;=70,80%,IF(Q23&gt;=60,70%,IF(Q23&gt;=50,60%,IF(Q23&gt;=40,50%,IF(Q23&gt;=30,40%,30%)))))))</f>
        <v>#DIV/0!</v>
      </c>
      <c r="T23" s="4">
        <v>200000</v>
      </c>
      <c r="U23" s="6" t="e">
        <f>T23*S23</f>
        <v>#DIV/0!</v>
      </c>
    </row>
    <row r="24" spans="1:21">
      <c r="A24" s="5">
        <v>19</v>
      </c>
      <c r="B24" s="3" t="s">
        <v>42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 t="e">
        <f>AVERAGE(E24:P24)</f>
        <v>#DIV/0!</v>
      </c>
      <c r="R24" s="3" t="e">
        <f>IF(Q24&gt;=90,"Sangat Baik",IF(Q24&gt;=80,"Baik",IF(Q24&gt;=70,"Cukup",IF(Q24&gt;=60,"Kurang","Perlu Pembinaan"))))</f>
        <v>#DIV/0!</v>
      </c>
      <c r="S24" s="3" t="e">
        <f>IF(Q24&gt;=90,100%,IF(Q24&gt;=80,90%,IF(Q24&gt;=70,80%,IF(Q24&gt;=60,70%,IF(Q24&gt;=50,60%,IF(Q24&gt;=40,50%,IF(Q24&gt;=30,40%,30%)))))))</f>
        <v>#DIV/0!</v>
      </c>
      <c r="T24" s="4">
        <v>200000</v>
      </c>
      <c r="U24" s="6" t="e">
        <f>T24*S24</f>
        <v>#DIV/0!</v>
      </c>
    </row>
    <row r="25" spans="1:21">
      <c r="A25" s="5">
        <v>20</v>
      </c>
      <c r="B25" s="3" t="s">
        <v>43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 t="e">
        <f>AVERAGE(E25:P25)</f>
        <v>#DIV/0!</v>
      </c>
      <c r="R25" s="3" t="e">
        <f>IF(Q25&gt;=90,"Sangat Baik",IF(Q25&gt;=80,"Baik",IF(Q25&gt;=70,"Cukup",IF(Q25&gt;=60,"Kurang","Perlu Pembinaan"))))</f>
        <v>#DIV/0!</v>
      </c>
      <c r="S25" s="3" t="e">
        <f>IF(Q25&gt;=90,100%,IF(Q25&gt;=80,90%,IF(Q25&gt;=70,80%,IF(Q25&gt;=60,70%,IF(Q25&gt;=50,60%,IF(Q25&gt;=40,50%,IF(Q25&gt;=30,40%,30%)))))))</f>
        <v>#DIV/0!</v>
      </c>
      <c r="T25" s="4">
        <v>200000</v>
      </c>
      <c r="U25" s="6" t="e">
        <f>T25*S25</f>
        <v>#DIV/0!</v>
      </c>
    </row>
  </sheetData>
  <mergeCells>
    <mergeCell ref="A1:U1"/>
    <mergeCell ref="A2:U2"/>
    <mergeCell ref="A3:U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2026-09-07T23:22:27+00:00</dcterms:created>
  <dcterms:modified xsi:type="dcterms:W3CDTF">2026-09-07T23:22:27+00:00</dcterms:modified>
  <dc:title>Untitled Spreadsheet</dc:title>
  <dc:description/>
  <dc:subject/>
  <cp:keywords/>
  <cp:category/>
</cp:coreProperties>
</file>