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<sst xmlns="http://schemas.openxmlformats.org/spreadsheetml/2006/main" uniqueCount="80">
  <si>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REKAP BULANAN PENILAIAN KPI YAYASAN PENDIDIKAN ALQALAM KENDARI</t>
  </si>
  <si>
    <t>SDIT</t>
  </si>
  <si>
    <t>BULAN 10 TAHUN 2026</t>
  </si>
  <si>
    <t>No</t>
  </si>
  <si>
    <t>Nama</t>
  </si>
  <si>
    <t>Rapor</t>
  </si>
  <si>
    <t>KPI</t>
  </si>
  <si>
    <t>Rata-rata Bulanan</t>
  </si>
  <si>
    <t>Predikat</t>
  </si>
  <si>
    <t>% Tukin</t>
  </si>
  <si>
    <t>Besaran Tukin</t>
  </si>
  <si>
    <t>Tukin Diterima</t>
  </si>
  <si>
    <t>Bonus Layak TTQ</t>
  </si>
  <si>
    <t>Kelebihan JP dari SK</t>
  </si>
  <si>
    <t>Guru pengganti</t>
  </si>
  <si>
    <t>Ketercapaian Catering</t>
  </si>
  <si>
    <t>Total</t>
  </si>
  <si>
    <t>Abd. Rajab, S.S., M.Sos.</t>
  </si>
  <si>
    <t>Adi Wahyudin, S.Mat.</t>
  </si>
  <si>
    <t>Al Aini Arifiani, S.Pd.</t>
  </si>
  <si>
    <t>Alwi Israd E., S.Pd.</t>
  </si>
  <si>
    <t>Andi Andhys Chaniago, S.Pd.</t>
  </si>
  <si>
    <t>Andi Ikwal, S.Pd.</t>
  </si>
  <si>
    <t>Anita Arifin, S.Pd.</t>
  </si>
  <si>
    <t>Aprilita, A.Md.</t>
  </si>
  <si>
    <t>Asgar Binur, S.Pd.</t>
  </si>
  <si>
    <t>Darmila, S.Pd.</t>
  </si>
  <si>
    <t>Dina Novalion Dini, S.Pd.</t>
  </si>
  <si>
    <t>Dona Saila, S.Pd.</t>
  </si>
  <si>
    <t>Ellen Efriana, S.Pd.</t>
  </si>
  <si>
    <t>Endang Yugaswara, S.Pd.</t>
  </si>
  <si>
    <t>Evalina, S.Pd</t>
  </si>
  <si>
    <t>Fiki Aksari, S.Pd.</t>
  </si>
  <si>
    <t>Fitri Sauki, S.Pd.</t>
  </si>
  <si>
    <t>Haiton, S.Pd., M.Pd.</t>
  </si>
  <si>
    <t>Hajriah, S.S.</t>
  </si>
  <si>
    <t>Hasmita Sari, S.Pd</t>
  </si>
  <si>
    <t>Hasriani, S.Pd.</t>
  </si>
  <si>
    <t>Hawaera, S.Pd.</t>
  </si>
  <si>
    <t>Helmi Marinti, S.Pd.</t>
  </si>
  <si>
    <t>Herfina, S.Pd.</t>
  </si>
  <si>
    <t>Herlin, S.Pd.</t>
  </si>
  <si>
    <t>Hermawati, S.Pd.</t>
  </si>
  <si>
    <t>Ibro Sutyono, S.Pd.</t>
  </si>
  <si>
    <t>Jumaidin, S.Pd.I.</t>
  </si>
  <si>
    <t>Jumaini, S.Pd.</t>
  </si>
  <si>
    <t>Jumania, S.Pd.</t>
  </si>
  <si>
    <t>Jumbrawati, S.Pd.</t>
  </si>
  <si>
    <t>Khaira, S.Pd.</t>
  </si>
  <si>
    <t>La Ode Hendra Hayat Saputra, S.Pd.</t>
  </si>
  <si>
    <t>La Saruddin, S. Pd.</t>
  </si>
  <si>
    <t>Ld. Gusman, S.Pd.</t>
  </si>
  <si>
    <t>Marianti, S.Pd.</t>
  </si>
  <si>
    <t>Monica Firman, S.Pd.</t>
  </si>
  <si>
    <t>Muh Amin, S.Pd.</t>
  </si>
  <si>
    <t>Muhammad Amin Saleh Al Habsy, S.Ag.</t>
  </si>
  <si>
    <t>Muhammad Farhan Akil Bahri, S.Pd.</t>
  </si>
  <si>
    <t>Muhammad Rezki Wahyudi, S.Pd.</t>
  </si>
  <si>
    <t>Najikhatun Nasriyah., S.Hum.</t>
  </si>
  <si>
    <t>Nirda, S.Pd.</t>
  </si>
  <si>
    <t>Nur Hidayah, S.Pd</t>
  </si>
  <si>
    <t>Rabasiah, S.Pd.I.</t>
  </si>
  <si>
    <t>Rama Widi Kwartananda Adris, S.Pd.</t>
  </si>
  <si>
    <t>Ramlia, S.Pd.I.</t>
  </si>
  <si>
    <t>Randita Cahyani Hamlin, S.Pd.</t>
  </si>
  <si>
    <t>Riska Sangfitri, S.Pd.</t>
  </si>
  <si>
    <t>Siti Juariah, S.Pd.</t>
  </si>
  <si>
    <t>Siti Mahmudah, S.Pd.I.</t>
  </si>
  <si>
    <t>Siti Sarah Rahmaini, S.Ag</t>
  </si>
  <si>
    <t>Sri Debi, S.Pd.</t>
  </si>
  <si>
    <t>Susi Israwati, S.Pd., M.Pd.</t>
  </si>
  <si>
    <t>Susmi, S.Pd.</t>
  </si>
  <si>
    <t>Tri Kurnia Lestari, S.Pd.</t>
  </si>
  <si>
    <t>Ulkhasanah Hidayah Sukni, S.Pd.</t>
  </si>
  <si>
    <t>Wa Ode Kamanianti, S.Pd.</t>
  </si>
  <si>
    <t>Wa Ode Nur Hikma, S.Pd.</t>
  </si>
  <si>
    <t>Wa Ode Yuyun Mbona, S.Pd.</t>
  </si>
  <si>
    <t>Wiwin Winarti, S.Pd.</t>
  </si>
  <si>
    <t>Yono, S.Pd.I., M.Pd.I</t>
  </si>
  <si>
    <t>Yuyun Israwati, S.Pd.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</si>
</sst>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68"/>
  <sheetViews>
    <sheetView tabSelected="1" workbookViewId="0" showGridLines="true" showRowColHeaders="1">
      <selection activeCell="U5" sqref="U5:N68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15" customWidth="true" style="0"/>
    <col min="6" max="6" width="20" customWidth="true" style="0"/>
    <col min="7" max="7" width="10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</row>
    <row r="6" spans="1:14">
      <c r="A6" s="5">
        <v>1</v>
      </c>
      <c r="B6" s="3" t="s">
        <v>17</v>
      </c>
      <c r="C6" s="3">
        <v>80</v>
      </c>
      <c r="D6" s="3">
        <v>0</v>
      </c>
      <c r="E6" s="3">
        <f>AVERAGE(C6:D6)</f>
        <v>40</v>
      </c>
      <c r="F6" s="3" t="str">
        <f>IF(E6&gt;=90,"Sangat Baik",IF(E6&gt;=80,"Baik",IF(E6&gt;=70,"Cukup",IF(E6&gt;=60,"Kurang","Perlu Pembinaan"))))</f>
        <v>Perlu Pembinaan</v>
      </c>
      <c r="G6" s="3">
        <f>IF(E6&gt;=90,100%,IF(E6&gt;=80,90%,IF(E6&gt;=70,80%,IF(E6&gt;=60,70%,IF(E6&gt;=50,60%,IF(E6&gt;=40,50%,IF(E6&gt;=30,40%,30%)))))))</f>
        <v>0.5</v>
      </c>
      <c r="H6" s="4">
        <v>200000</v>
      </c>
      <c r="I6" s="4">
        <f>H6*G6</f>
        <v>100000</v>
      </c>
      <c r="J6" s="4">
        <v>0</v>
      </c>
      <c r="K6" s="4">
        <v>0</v>
      </c>
      <c r="L6" s="4">
        <v>0</v>
      </c>
      <c r="M6" s="4">
        <v>0</v>
      </c>
      <c r="N6" s="4">
        <f>SUM(I6:M6)</f>
        <v>100000</v>
      </c>
    </row>
    <row r="7" spans="1:14">
      <c r="A7" s="5">
        <v>2</v>
      </c>
      <c r="B7" s="3" t="s">
        <v>18</v>
      </c>
      <c r="C7" s="3">
        <v>0</v>
      </c>
      <c r="D7" s="3">
        <v>0</v>
      </c>
      <c r="E7" s="3">
        <f>AVERAGE(C7:D7)</f>
        <v>0</v>
      </c>
      <c r="F7" s="3" t="str">
        <f>IF(E7&gt;=90,"Sangat Baik",IF(E7&gt;=80,"Baik",IF(E7&gt;=70,"Cukup",IF(E7&gt;=60,"Kurang","Perlu Pembinaan"))))</f>
        <v>Perlu Pembinaan</v>
      </c>
      <c r="G7" s="3">
        <f>IF(E7&gt;=90,100%,IF(E7&gt;=80,90%,IF(E7&gt;=70,80%,IF(E7&gt;=60,70%,IF(E7&gt;=50,60%,IF(E7&gt;=40,50%,IF(E7&gt;=30,40%,30%)))))))</f>
        <v>0.3</v>
      </c>
      <c r="H7" s="4">
        <v>200000</v>
      </c>
      <c r="I7" s="4">
        <f>H7*G7</f>
        <v>60000</v>
      </c>
      <c r="J7" s="4">
        <v>0</v>
      </c>
      <c r="K7" s="4">
        <v>0</v>
      </c>
      <c r="L7" s="4">
        <v>0</v>
      </c>
      <c r="M7" s="4">
        <v>0</v>
      </c>
      <c r="N7" s="4">
        <f>SUM(I7:M7)</f>
        <v>60000</v>
      </c>
    </row>
    <row r="8" spans="1:14">
      <c r="A8" s="5">
        <v>3</v>
      </c>
      <c r="B8" s="3" t="s">
        <v>19</v>
      </c>
      <c r="C8" s="3">
        <v>0</v>
      </c>
      <c r="D8" s="3">
        <v>0</v>
      </c>
      <c r="E8" s="3">
        <f>AVERAGE(C8:D8)</f>
        <v>0</v>
      </c>
      <c r="F8" s="3" t="str">
        <f>IF(E8&gt;=90,"Sangat Baik",IF(E8&gt;=80,"Baik",IF(E8&gt;=70,"Cukup",IF(E8&gt;=60,"Kurang","Perlu Pembinaan"))))</f>
        <v>Perlu Pembinaan</v>
      </c>
      <c r="G8" s="3">
        <f>IF(E8&gt;=90,100%,IF(E8&gt;=80,90%,IF(E8&gt;=70,80%,IF(E8&gt;=60,70%,IF(E8&gt;=50,60%,IF(E8&gt;=40,50%,IF(E8&gt;=30,40%,30%)))))))</f>
        <v>0.3</v>
      </c>
      <c r="H8" s="4">
        <v>200000</v>
      </c>
      <c r="I8" s="4">
        <f>H8*G8</f>
        <v>60000</v>
      </c>
      <c r="J8" s="4">
        <v>0</v>
      </c>
      <c r="K8" s="4">
        <v>0</v>
      </c>
      <c r="L8" s="4">
        <v>0</v>
      </c>
      <c r="M8" s="4">
        <v>0</v>
      </c>
      <c r="N8" s="4">
        <f>SUM(I8:M8)</f>
        <v>60000</v>
      </c>
    </row>
    <row r="9" spans="1:14">
      <c r="A9" s="5">
        <v>4</v>
      </c>
      <c r="B9" s="3" t="s">
        <v>20</v>
      </c>
      <c r="C9" s="3">
        <v>0</v>
      </c>
      <c r="D9" s="3">
        <v>0</v>
      </c>
      <c r="E9" s="3">
        <f>AVERAGE(C9:D9)</f>
        <v>0</v>
      </c>
      <c r="F9" s="3" t="str">
        <f>IF(E9&gt;=90,"Sangat Baik",IF(E9&gt;=80,"Baik",IF(E9&gt;=70,"Cukup",IF(E9&gt;=60,"Kurang","Perlu Pembinaan"))))</f>
        <v>Perlu Pembinaan</v>
      </c>
      <c r="G9" s="3">
        <f>IF(E9&gt;=90,100%,IF(E9&gt;=80,90%,IF(E9&gt;=70,80%,IF(E9&gt;=60,70%,IF(E9&gt;=50,60%,IF(E9&gt;=40,50%,IF(E9&gt;=30,40%,30%)))))))</f>
        <v>0.3</v>
      </c>
      <c r="H9" s="4">
        <v>200000</v>
      </c>
      <c r="I9" s="4">
        <f>H9*G9</f>
        <v>60000</v>
      </c>
      <c r="J9" s="4">
        <v>0</v>
      </c>
      <c r="K9" s="4">
        <v>0</v>
      </c>
      <c r="L9" s="4">
        <v>0</v>
      </c>
      <c r="M9" s="4">
        <v>0</v>
      </c>
      <c r="N9" s="4">
        <f>SUM(I9:M9)</f>
        <v>60000</v>
      </c>
    </row>
    <row r="10" spans="1:14">
      <c r="A10" s="5">
        <v>5</v>
      </c>
      <c r="B10" s="3" t="s">
        <v>21</v>
      </c>
      <c r="C10" s="3">
        <v>0</v>
      </c>
      <c r="D10" s="3">
        <v>0</v>
      </c>
      <c r="E10" s="3">
        <f>AVERAGE(C10:D10)</f>
        <v>0</v>
      </c>
      <c r="F10" s="3" t="str">
        <f>IF(E10&gt;=90,"Sangat Baik",IF(E10&gt;=80,"Baik",IF(E10&gt;=70,"Cukup",IF(E10&gt;=60,"Kurang","Perlu Pembinaan"))))</f>
        <v>Perlu Pembinaan</v>
      </c>
      <c r="G10" s="3">
        <f>IF(E10&gt;=90,100%,IF(E10&gt;=80,90%,IF(E10&gt;=70,80%,IF(E10&gt;=60,70%,IF(E10&gt;=50,60%,IF(E10&gt;=40,50%,IF(E10&gt;=30,40%,30%)))))))</f>
        <v>0.3</v>
      </c>
      <c r="H10" s="4">
        <v>200000</v>
      </c>
      <c r="I10" s="4">
        <f>H10*G10</f>
        <v>60000</v>
      </c>
      <c r="J10" s="4">
        <v>0</v>
      </c>
      <c r="K10" s="4">
        <v>0</v>
      </c>
      <c r="L10" s="4">
        <v>0</v>
      </c>
      <c r="M10" s="4">
        <v>0</v>
      </c>
      <c r="N10" s="4">
        <f>SUM(I10:M10)</f>
        <v>60000</v>
      </c>
    </row>
    <row r="11" spans="1:14">
      <c r="A11" s="5">
        <v>6</v>
      </c>
      <c r="B11" s="3" t="s">
        <v>22</v>
      </c>
      <c r="C11" s="3">
        <v>0</v>
      </c>
      <c r="D11" s="3">
        <v>0</v>
      </c>
      <c r="E11" s="3">
        <f>AVERAGE(C11:D11)</f>
        <v>0</v>
      </c>
      <c r="F11" s="3" t="str">
        <f>IF(E11&gt;=90,"Sangat Baik",IF(E11&gt;=80,"Baik",IF(E11&gt;=70,"Cukup",IF(E11&gt;=60,"Kurang","Perlu Pembinaan"))))</f>
        <v>Perlu Pembinaan</v>
      </c>
      <c r="G11" s="3">
        <f>IF(E11&gt;=90,100%,IF(E11&gt;=80,90%,IF(E11&gt;=70,80%,IF(E11&gt;=60,70%,IF(E11&gt;=50,60%,IF(E11&gt;=40,50%,IF(E11&gt;=30,40%,30%)))))))</f>
        <v>0.3</v>
      </c>
      <c r="H11" s="4">
        <v>200000</v>
      </c>
      <c r="I11" s="4">
        <f>H11*G11</f>
        <v>60000</v>
      </c>
      <c r="J11" s="4">
        <v>0</v>
      </c>
      <c r="K11" s="4">
        <v>0</v>
      </c>
      <c r="L11" s="4">
        <v>0</v>
      </c>
      <c r="M11" s="4">
        <v>0</v>
      </c>
      <c r="N11" s="4">
        <f>SUM(I11:M11)</f>
        <v>60000</v>
      </c>
    </row>
    <row r="12" spans="1:14">
      <c r="A12" s="5">
        <v>7</v>
      </c>
      <c r="B12" s="3" t="s">
        <v>23</v>
      </c>
      <c r="C12" s="3">
        <v>0</v>
      </c>
      <c r="D12" s="3">
        <v>0</v>
      </c>
      <c r="E12" s="3">
        <f>AVERAGE(C12:D12)</f>
        <v>0</v>
      </c>
      <c r="F12" s="3" t="str">
        <f>IF(E12&gt;=90,"Sangat Baik",IF(E12&gt;=80,"Baik",IF(E12&gt;=70,"Cukup",IF(E12&gt;=60,"Kurang","Perlu Pembinaan"))))</f>
        <v>Perlu Pembinaan</v>
      </c>
      <c r="G12" s="3">
        <f>IF(E12&gt;=90,100%,IF(E12&gt;=80,90%,IF(E12&gt;=70,80%,IF(E12&gt;=60,70%,IF(E12&gt;=50,60%,IF(E12&gt;=40,50%,IF(E12&gt;=30,40%,30%)))))))</f>
        <v>0.3</v>
      </c>
      <c r="H12" s="4">
        <v>200000</v>
      </c>
      <c r="I12" s="4">
        <f>H12*G12</f>
        <v>60000</v>
      </c>
      <c r="J12" s="4">
        <v>0</v>
      </c>
      <c r="K12" s="4">
        <v>0</v>
      </c>
      <c r="L12" s="4">
        <v>0</v>
      </c>
      <c r="M12" s="4">
        <v>0</v>
      </c>
      <c r="N12" s="4">
        <f>SUM(I12:M12)</f>
        <v>60000</v>
      </c>
    </row>
    <row r="13" spans="1:14">
      <c r="A13" s="5">
        <v>8</v>
      </c>
      <c r="B13" s="3" t="s">
        <v>24</v>
      </c>
      <c r="C13" s="3">
        <v>0</v>
      </c>
      <c r="D13" s="3">
        <v>0</v>
      </c>
      <c r="E13" s="3">
        <f>AVERAGE(C13:D13)</f>
        <v>0</v>
      </c>
      <c r="F13" s="3" t="str">
        <f>IF(E13&gt;=90,"Sangat Baik",IF(E13&gt;=80,"Baik",IF(E13&gt;=70,"Cukup",IF(E13&gt;=60,"Kurang","Perlu Pembinaan"))))</f>
        <v>Perlu Pembinaan</v>
      </c>
      <c r="G13" s="3">
        <f>IF(E13&gt;=90,100%,IF(E13&gt;=80,90%,IF(E13&gt;=70,80%,IF(E13&gt;=60,70%,IF(E13&gt;=50,60%,IF(E13&gt;=40,50%,IF(E13&gt;=30,40%,30%)))))))</f>
        <v>0.3</v>
      </c>
      <c r="H13" s="4">
        <v>200000</v>
      </c>
      <c r="I13" s="4">
        <f>H13*G13</f>
        <v>60000</v>
      </c>
      <c r="J13" s="4">
        <v>0</v>
      </c>
      <c r="K13" s="4">
        <v>0</v>
      </c>
      <c r="L13" s="4">
        <v>0</v>
      </c>
      <c r="M13" s="4">
        <v>0</v>
      </c>
      <c r="N13" s="4">
        <f>SUM(I13:M13)</f>
        <v>60000</v>
      </c>
    </row>
    <row r="14" spans="1:14">
      <c r="A14" s="5">
        <v>9</v>
      </c>
      <c r="B14" s="3" t="s">
        <v>25</v>
      </c>
      <c r="C14" s="3">
        <v>0</v>
      </c>
      <c r="D14" s="3">
        <v>0</v>
      </c>
      <c r="E14" s="3">
        <f>AVERAGE(C14:D14)</f>
        <v>0</v>
      </c>
      <c r="F14" s="3" t="str">
        <f>IF(E14&gt;=90,"Sangat Baik",IF(E14&gt;=80,"Baik",IF(E14&gt;=70,"Cukup",IF(E14&gt;=60,"Kurang","Perlu Pembinaan"))))</f>
        <v>Perlu Pembinaan</v>
      </c>
      <c r="G14" s="3">
        <f>IF(E14&gt;=90,100%,IF(E14&gt;=80,90%,IF(E14&gt;=70,80%,IF(E14&gt;=60,70%,IF(E14&gt;=50,60%,IF(E14&gt;=40,50%,IF(E14&gt;=30,40%,30%)))))))</f>
        <v>0.3</v>
      </c>
      <c r="H14" s="4">
        <v>200000</v>
      </c>
      <c r="I14" s="4">
        <f>H14*G14</f>
        <v>60000</v>
      </c>
      <c r="J14" s="4">
        <v>0</v>
      </c>
      <c r="K14" s="4">
        <v>0</v>
      </c>
      <c r="L14" s="4">
        <v>0</v>
      </c>
      <c r="M14" s="4">
        <v>0</v>
      </c>
      <c r="N14" s="4">
        <f>SUM(I14:M14)</f>
        <v>60000</v>
      </c>
    </row>
    <row r="15" spans="1:14">
      <c r="A15" s="5">
        <v>10</v>
      </c>
      <c r="B15" s="3" t="s">
        <v>26</v>
      </c>
      <c r="C15" s="3">
        <v>0</v>
      </c>
      <c r="D15" s="3">
        <v>0</v>
      </c>
      <c r="E15" s="3">
        <f>AVERAGE(C15:D15)</f>
        <v>0</v>
      </c>
      <c r="F15" s="3" t="str">
        <f>IF(E15&gt;=90,"Sangat Baik",IF(E15&gt;=80,"Baik",IF(E15&gt;=70,"Cukup",IF(E15&gt;=60,"Kurang","Perlu Pembinaan"))))</f>
        <v>Perlu Pembinaan</v>
      </c>
      <c r="G15" s="3">
        <f>IF(E15&gt;=90,100%,IF(E15&gt;=80,90%,IF(E15&gt;=70,80%,IF(E15&gt;=60,70%,IF(E15&gt;=50,60%,IF(E15&gt;=40,50%,IF(E15&gt;=30,40%,30%)))))))</f>
        <v>0.3</v>
      </c>
      <c r="H15" s="4">
        <v>200000</v>
      </c>
      <c r="I15" s="4">
        <f>H15*G15</f>
        <v>60000</v>
      </c>
      <c r="J15" s="4">
        <v>0</v>
      </c>
      <c r="K15" s="4">
        <v>0</v>
      </c>
      <c r="L15" s="4">
        <v>0</v>
      </c>
      <c r="M15" s="4">
        <v>0</v>
      </c>
      <c r="N15" s="4">
        <f>SUM(I15:M15)</f>
        <v>60000</v>
      </c>
    </row>
    <row r="16" spans="1:14">
      <c r="A16" s="5">
        <v>11</v>
      </c>
      <c r="B16" s="3" t="s">
        <v>27</v>
      </c>
      <c r="C16" s="3">
        <v>0</v>
      </c>
      <c r="D16" s="3">
        <v>0</v>
      </c>
      <c r="E16" s="3">
        <f>AVERAGE(C16:D16)</f>
        <v>0</v>
      </c>
      <c r="F16" s="3" t="str">
        <f>IF(E16&gt;=90,"Sangat Baik",IF(E16&gt;=80,"Baik",IF(E16&gt;=70,"Cukup",IF(E16&gt;=60,"Kurang","Perlu Pembinaan"))))</f>
        <v>Perlu Pembinaan</v>
      </c>
      <c r="G16" s="3">
        <f>IF(E16&gt;=90,100%,IF(E16&gt;=80,90%,IF(E16&gt;=70,80%,IF(E16&gt;=60,70%,IF(E16&gt;=50,60%,IF(E16&gt;=40,50%,IF(E16&gt;=30,40%,30%)))))))</f>
        <v>0.3</v>
      </c>
      <c r="H16" s="4">
        <v>200000</v>
      </c>
      <c r="I16" s="4">
        <f>H16*G16</f>
        <v>60000</v>
      </c>
      <c r="J16" s="4">
        <v>0</v>
      </c>
      <c r="K16" s="4">
        <v>0</v>
      </c>
      <c r="L16" s="4">
        <v>0</v>
      </c>
      <c r="M16" s="4">
        <v>0</v>
      </c>
      <c r="N16" s="4">
        <f>SUM(I16:M16)</f>
        <v>60000</v>
      </c>
    </row>
    <row r="17" spans="1:14">
      <c r="A17" s="5">
        <v>12</v>
      </c>
      <c r="B17" s="3" t="s">
        <v>28</v>
      </c>
      <c r="C17" s="3">
        <v>0</v>
      </c>
      <c r="D17" s="3">
        <v>0</v>
      </c>
      <c r="E17" s="3">
        <f>AVERAGE(C17:D17)</f>
        <v>0</v>
      </c>
      <c r="F17" s="3" t="str">
        <f>IF(E17&gt;=90,"Sangat Baik",IF(E17&gt;=80,"Baik",IF(E17&gt;=70,"Cukup",IF(E17&gt;=60,"Kurang","Perlu Pembinaan"))))</f>
        <v>Perlu Pembinaan</v>
      </c>
      <c r="G17" s="3">
        <f>IF(E17&gt;=90,100%,IF(E17&gt;=80,90%,IF(E17&gt;=70,80%,IF(E17&gt;=60,70%,IF(E17&gt;=50,60%,IF(E17&gt;=40,50%,IF(E17&gt;=30,40%,30%)))))))</f>
        <v>0.3</v>
      </c>
      <c r="H17" s="4">
        <v>200000</v>
      </c>
      <c r="I17" s="4">
        <f>H17*G17</f>
        <v>60000</v>
      </c>
      <c r="J17" s="4">
        <v>0</v>
      </c>
      <c r="K17" s="4">
        <v>0</v>
      </c>
      <c r="L17" s="4">
        <v>0</v>
      </c>
      <c r="M17" s="4">
        <v>0</v>
      </c>
      <c r="N17" s="4">
        <f>SUM(I17:M17)</f>
        <v>60000</v>
      </c>
    </row>
    <row r="18" spans="1:14">
      <c r="A18" s="5">
        <v>13</v>
      </c>
      <c r="B18" s="3" t="s">
        <v>29</v>
      </c>
      <c r="C18" s="3">
        <v>0</v>
      </c>
      <c r="D18" s="3">
        <v>0</v>
      </c>
      <c r="E18" s="3">
        <f>AVERAGE(C18:D18)</f>
        <v>0</v>
      </c>
      <c r="F18" s="3" t="str">
        <f>IF(E18&gt;=90,"Sangat Baik",IF(E18&gt;=80,"Baik",IF(E18&gt;=70,"Cukup",IF(E18&gt;=60,"Kurang","Perlu Pembinaan"))))</f>
        <v>Perlu Pembinaan</v>
      </c>
      <c r="G18" s="3">
        <f>IF(E18&gt;=90,100%,IF(E18&gt;=80,90%,IF(E18&gt;=70,80%,IF(E18&gt;=60,70%,IF(E18&gt;=50,60%,IF(E18&gt;=40,50%,IF(E18&gt;=30,40%,30%)))))))</f>
        <v>0.3</v>
      </c>
      <c r="H18" s="4">
        <v>200000</v>
      </c>
      <c r="I18" s="4">
        <f>H18*G18</f>
        <v>60000</v>
      </c>
      <c r="J18" s="4">
        <v>0</v>
      </c>
      <c r="K18" s="4">
        <v>0</v>
      </c>
      <c r="L18" s="4">
        <v>0</v>
      </c>
      <c r="M18" s="4">
        <v>0</v>
      </c>
      <c r="N18" s="4">
        <f>SUM(I18:M18)</f>
        <v>60000</v>
      </c>
    </row>
    <row r="19" spans="1:14">
      <c r="A19" s="5">
        <v>14</v>
      </c>
      <c r="B19" s="3" t="s">
        <v>30</v>
      </c>
      <c r="C19" s="3">
        <v>0</v>
      </c>
      <c r="D19" s="3">
        <v>0</v>
      </c>
      <c r="E19" s="3">
        <f>AVERAGE(C19:D19)</f>
        <v>0</v>
      </c>
      <c r="F19" s="3" t="str">
        <f>IF(E19&gt;=90,"Sangat Baik",IF(E19&gt;=80,"Baik",IF(E19&gt;=70,"Cukup",IF(E19&gt;=60,"Kurang","Perlu Pembinaan"))))</f>
        <v>Perlu Pembinaan</v>
      </c>
      <c r="G19" s="3">
        <f>IF(E19&gt;=90,100%,IF(E19&gt;=80,90%,IF(E19&gt;=70,80%,IF(E19&gt;=60,70%,IF(E19&gt;=50,60%,IF(E19&gt;=40,50%,IF(E19&gt;=30,40%,30%)))))))</f>
        <v>0.3</v>
      </c>
      <c r="H19" s="4">
        <v>200000</v>
      </c>
      <c r="I19" s="4">
        <f>H19*G19</f>
        <v>60000</v>
      </c>
      <c r="J19" s="4">
        <v>0</v>
      </c>
      <c r="K19" s="4">
        <v>0</v>
      </c>
      <c r="L19" s="4">
        <v>0</v>
      </c>
      <c r="M19" s="4">
        <v>0</v>
      </c>
      <c r="N19" s="4">
        <f>SUM(I19:M19)</f>
        <v>60000</v>
      </c>
    </row>
    <row r="20" spans="1:14">
      <c r="A20" s="5">
        <v>15</v>
      </c>
      <c r="B20" s="3" t="s">
        <v>31</v>
      </c>
      <c r="C20" s="3">
        <v>0</v>
      </c>
      <c r="D20" s="3">
        <v>0</v>
      </c>
      <c r="E20" s="3">
        <f>AVERAGE(C20:D20)</f>
        <v>0</v>
      </c>
      <c r="F20" s="3" t="str">
        <f>IF(E20&gt;=90,"Sangat Baik",IF(E20&gt;=80,"Baik",IF(E20&gt;=70,"Cukup",IF(E20&gt;=60,"Kurang","Perlu Pembinaan"))))</f>
        <v>Perlu Pembinaan</v>
      </c>
      <c r="G20" s="3">
        <f>IF(E20&gt;=90,100%,IF(E20&gt;=80,90%,IF(E20&gt;=70,80%,IF(E20&gt;=60,70%,IF(E20&gt;=50,60%,IF(E20&gt;=40,50%,IF(E20&gt;=30,40%,30%)))))))</f>
        <v>0.3</v>
      </c>
      <c r="H20" s="4">
        <v>200000</v>
      </c>
      <c r="I20" s="4">
        <f>H20*G20</f>
        <v>60000</v>
      </c>
      <c r="J20" s="4">
        <v>0</v>
      </c>
      <c r="K20" s="4">
        <v>0</v>
      </c>
      <c r="L20" s="4">
        <v>0</v>
      </c>
      <c r="M20" s="4">
        <v>0</v>
      </c>
      <c r="N20" s="4">
        <f>SUM(I20:M20)</f>
        <v>60000</v>
      </c>
    </row>
    <row r="21" spans="1:14">
      <c r="A21" s="5">
        <v>16</v>
      </c>
      <c r="B21" s="3" t="s">
        <v>32</v>
      </c>
      <c r="C21" s="3">
        <v>0</v>
      </c>
      <c r="D21" s="3">
        <v>0</v>
      </c>
      <c r="E21" s="3">
        <f>AVERAGE(C21:D21)</f>
        <v>0</v>
      </c>
      <c r="F21" s="3" t="str">
        <f>IF(E21&gt;=90,"Sangat Baik",IF(E21&gt;=80,"Baik",IF(E21&gt;=70,"Cukup",IF(E21&gt;=60,"Kurang","Perlu Pembinaan"))))</f>
        <v>Perlu Pembinaan</v>
      </c>
      <c r="G21" s="3">
        <f>IF(E21&gt;=90,100%,IF(E21&gt;=80,90%,IF(E21&gt;=70,80%,IF(E21&gt;=60,70%,IF(E21&gt;=50,60%,IF(E21&gt;=40,50%,IF(E21&gt;=30,40%,30%)))))))</f>
        <v>0.3</v>
      </c>
      <c r="H21" s="4">
        <v>200000</v>
      </c>
      <c r="I21" s="4">
        <f>H21*G21</f>
        <v>60000</v>
      </c>
      <c r="J21" s="4">
        <v>0</v>
      </c>
      <c r="K21" s="4">
        <v>0</v>
      </c>
      <c r="L21" s="4">
        <v>0</v>
      </c>
      <c r="M21" s="4">
        <v>0</v>
      </c>
      <c r="N21" s="4">
        <f>SUM(I21:M21)</f>
        <v>60000</v>
      </c>
    </row>
    <row r="22" spans="1:14">
      <c r="A22" s="5">
        <v>17</v>
      </c>
      <c r="B22" s="3" t="s">
        <v>33</v>
      </c>
      <c r="C22" s="3">
        <v>0</v>
      </c>
      <c r="D22" s="3">
        <v>0</v>
      </c>
      <c r="E22" s="3">
        <f>AVERAGE(C22:D22)</f>
        <v>0</v>
      </c>
      <c r="F22" s="3" t="str">
        <f>IF(E22&gt;=90,"Sangat Baik",IF(E22&gt;=80,"Baik",IF(E22&gt;=70,"Cukup",IF(E22&gt;=60,"Kurang","Perlu Pembinaan"))))</f>
        <v>Perlu Pembinaan</v>
      </c>
      <c r="G22" s="3">
        <f>IF(E22&gt;=90,100%,IF(E22&gt;=80,90%,IF(E22&gt;=70,80%,IF(E22&gt;=60,70%,IF(E22&gt;=50,60%,IF(E22&gt;=40,50%,IF(E22&gt;=30,40%,30%)))))))</f>
        <v>0.3</v>
      </c>
      <c r="H22" s="4">
        <v>200000</v>
      </c>
      <c r="I22" s="4">
        <f>H22*G22</f>
        <v>60000</v>
      </c>
      <c r="J22" s="4">
        <v>0</v>
      </c>
      <c r="K22" s="4">
        <v>0</v>
      </c>
      <c r="L22" s="4">
        <v>0</v>
      </c>
      <c r="M22" s="4">
        <v>0</v>
      </c>
      <c r="N22" s="4">
        <f>SUM(I22:M22)</f>
        <v>60000</v>
      </c>
    </row>
    <row r="23" spans="1:14">
      <c r="A23" s="5">
        <v>18</v>
      </c>
      <c r="B23" s="3" t="s">
        <v>34</v>
      </c>
      <c r="C23" s="3">
        <v>0</v>
      </c>
      <c r="D23" s="3">
        <v>0</v>
      </c>
      <c r="E23" s="3">
        <f>AVERAGE(C23:D23)</f>
        <v>0</v>
      </c>
      <c r="F23" s="3" t="str">
        <f>IF(E23&gt;=90,"Sangat Baik",IF(E23&gt;=80,"Baik",IF(E23&gt;=70,"Cukup",IF(E23&gt;=60,"Kurang","Perlu Pembinaan"))))</f>
        <v>Perlu Pembinaan</v>
      </c>
      <c r="G23" s="3">
        <f>IF(E23&gt;=90,100%,IF(E23&gt;=80,90%,IF(E23&gt;=70,80%,IF(E23&gt;=60,70%,IF(E23&gt;=50,60%,IF(E23&gt;=40,50%,IF(E23&gt;=30,40%,30%)))))))</f>
        <v>0.3</v>
      </c>
      <c r="H23" s="4">
        <v>200000</v>
      </c>
      <c r="I23" s="4">
        <f>H23*G23</f>
        <v>60000</v>
      </c>
      <c r="J23" s="4">
        <v>0</v>
      </c>
      <c r="K23" s="4">
        <v>0</v>
      </c>
      <c r="L23" s="4">
        <v>0</v>
      </c>
      <c r="M23" s="4">
        <v>0</v>
      </c>
      <c r="N23" s="4">
        <f>SUM(I23:M23)</f>
        <v>60000</v>
      </c>
    </row>
    <row r="24" spans="1:14">
      <c r="A24" s="5">
        <v>19</v>
      </c>
      <c r="B24" s="3" t="s">
        <v>35</v>
      </c>
      <c r="C24" s="3">
        <v>0</v>
      </c>
      <c r="D24" s="3">
        <v>0</v>
      </c>
      <c r="E24" s="3">
        <f>AVERAGE(C24:D24)</f>
        <v>0</v>
      </c>
      <c r="F24" s="3" t="str">
        <f>IF(E24&gt;=90,"Sangat Baik",IF(E24&gt;=80,"Baik",IF(E24&gt;=70,"Cukup",IF(E24&gt;=60,"Kurang","Perlu Pembinaan"))))</f>
        <v>Perlu Pembinaan</v>
      </c>
      <c r="G24" s="3">
        <f>IF(E24&gt;=90,100%,IF(E24&gt;=80,90%,IF(E24&gt;=70,80%,IF(E24&gt;=60,70%,IF(E24&gt;=50,60%,IF(E24&gt;=40,50%,IF(E24&gt;=30,40%,30%)))))))</f>
        <v>0.3</v>
      </c>
      <c r="H24" s="4">
        <v>200000</v>
      </c>
      <c r="I24" s="4">
        <f>H24*G24</f>
        <v>60000</v>
      </c>
      <c r="J24" s="4">
        <v>0</v>
      </c>
      <c r="K24" s="4">
        <v>0</v>
      </c>
      <c r="L24" s="4">
        <v>0</v>
      </c>
      <c r="M24" s="4">
        <v>0</v>
      </c>
      <c r="N24" s="4">
        <f>SUM(I24:M24)</f>
        <v>60000</v>
      </c>
    </row>
    <row r="25" spans="1:14">
      <c r="A25" s="5">
        <v>20</v>
      </c>
      <c r="B25" s="3" t="s">
        <v>36</v>
      </c>
      <c r="C25" s="3">
        <v>0</v>
      </c>
      <c r="D25" s="3">
        <v>0</v>
      </c>
      <c r="E25" s="3">
        <f>AVERAGE(C25:D25)</f>
        <v>0</v>
      </c>
      <c r="F25" s="3" t="str">
        <f>IF(E25&gt;=90,"Sangat Baik",IF(E25&gt;=80,"Baik",IF(E25&gt;=70,"Cukup",IF(E25&gt;=60,"Kurang","Perlu Pembinaan"))))</f>
        <v>Perlu Pembinaan</v>
      </c>
      <c r="G25" s="3">
        <f>IF(E25&gt;=90,100%,IF(E25&gt;=80,90%,IF(E25&gt;=70,80%,IF(E25&gt;=60,70%,IF(E25&gt;=50,60%,IF(E25&gt;=40,50%,IF(E25&gt;=30,40%,30%)))))))</f>
        <v>0.3</v>
      </c>
      <c r="H25" s="4">
        <v>200000</v>
      </c>
      <c r="I25" s="4">
        <f>H25*G25</f>
        <v>60000</v>
      </c>
      <c r="J25" s="4">
        <v>0</v>
      </c>
      <c r="K25" s="4">
        <v>0</v>
      </c>
      <c r="L25" s="4">
        <v>0</v>
      </c>
      <c r="M25" s="4">
        <v>0</v>
      </c>
      <c r="N25" s="4">
        <f>SUM(I25:M25)</f>
        <v>60000</v>
      </c>
    </row>
    <row r="26" spans="1:14">
      <c r="A26" s="5">
        <v>21</v>
      </c>
      <c r="B26" s="3" t="s">
        <v>37</v>
      </c>
      <c r="C26" s="3">
        <v>0</v>
      </c>
      <c r="D26" s="3">
        <v>0</v>
      </c>
      <c r="E26" s="3">
        <f>AVERAGE(C26:D26)</f>
        <v>0</v>
      </c>
      <c r="F26" s="3" t="str">
        <f>IF(E26&gt;=90,"Sangat Baik",IF(E26&gt;=80,"Baik",IF(E26&gt;=70,"Cukup",IF(E26&gt;=60,"Kurang","Perlu Pembinaan"))))</f>
        <v>Perlu Pembinaan</v>
      </c>
      <c r="G26" s="3">
        <f>IF(E26&gt;=90,100%,IF(E26&gt;=80,90%,IF(E26&gt;=70,80%,IF(E26&gt;=60,70%,IF(E26&gt;=50,60%,IF(E26&gt;=40,50%,IF(E26&gt;=30,40%,30%)))))))</f>
        <v>0.3</v>
      </c>
      <c r="H26" s="4">
        <v>200000</v>
      </c>
      <c r="I26" s="4">
        <f>H26*G26</f>
        <v>60000</v>
      </c>
      <c r="J26" s="4">
        <v>0</v>
      </c>
      <c r="K26" s="4">
        <v>0</v>
      </c>
      <c r="L26" s="4">
        <v>0</v>
      </c>
      <c r="M26" s="4">
        <v>0</v>
      </c>
      <c r="N26" s="4">
        <f>SUM(I26:M26)</f>
        <v>60000</v>
      </c>
    </row>
    <row r="27" spans="1:14">
      <c r="A27" s="5">
        <v>22</v>
      </c>
      <c r="B27" s="3" t="s">
        <v>38</v>
      </c>
      <c r="C27" s="3">
        <v>0</v>
      </c>
      <c r="D27" s="3">
        <v>0</v>
      </c>
      <c r="E27" s="3">
        <f>AVERAGE(C27:D27)</f>
        <v>0</v>
      </c>
      <c r="F27" s="3" t="str">
        <f>IF(E27&gt;=90,"Sangat Baik",IF(E27&gt;=80,"Baik",IF(E27&gt;=70,"Cukup",IF(E27&gt;=60,"Kurang","Perlu Pembinaan"))))</f>
        <v>Perlu Pembinaan</v>
      </c>
      <c r="G27" s="3">
        <f>IF(E27&gt;=90,100%,IF(E27&gt;=80,90%,IF(E27&gt;=70,80%,IF(E27&gt;=60,70%,IF(E27&gt;=50,60%,IF(E27&gt;=40,50%,IF(E27&gt;=30,40%,30%)))))))</f>
        <v>0.3</v>
      </c>
      <c r="H27" s="4">
        <v>200000</v>
      </c>
      <c r="I27" s="4">
        <f>H27*G27</f>
        <v>60000</v>
      </c>
      <c r="J27" s="4">
        <v>0</v>
      </c>
      <c r="K27" s="4">
        <v>0</v>
      </c>
      <c r="L27" s="4">
        <v>0</v>
      </c>
      <c r="M27" s="4">
        <v>0</v>
      </c>
      <c r="N27" s="4">
        <f>SUM(I27:M27)</f>
        <v>60000</v>
      </c>
    </row>
    <row r="28" spans="1:14">
      <c r="A28" s="5">
        <v>23</v>
      </c>
      <c r="B28" s="3" t="s">
        <v>39</v>
      </c>
      <c r="C28" s="3">
        <v>0</v>
      </c>
      <c r="D28" s="3">
        <v>0</v>
      </c>
      <c r="E28" s="3">
        <f>AVERAGE(C28:D28)</f>
        <v>0</v>
      </c>
      <c r="F28" s="3" t="str">
        <f>IF(E28&gt;=90,"Sangat Baik",IF(E28&gt;=80,"Baik",IF(E28&gt;=70,"Cukup",IF(E28&gt;=60,"Kurang","Perlu Pembinaan"))))</f>
        <v>Perlu Pembinaan</v>
      </c>
      <c r="G28" s="3">
        <f>IF(E28&gt;=90,100%,IF(E28&gt;=80,90%,IF(E28&gt;=70,80%,IF(E28&gt;=60,70%,IF(E28&gt;=50,60%,IF(E28&gt;=40,50%,IF(E28&gt;=30,40%,30%)))))))</f>
        <v>0.3</v>
      </c>
      <c r="H28" s="4">
        <v>200000</v>
      </c>
      <c r="I28" s="4">
        <f>H28*G28</f>
        <v>60000</v>
      </c>
      <c r="J28" s="4">
        <v>0</v>
      </c>
      <c r="K28" s="4">
        <v>0</v>
      </c>
      <c r="L28" s="4">
        <v>0</v>
      </c>
      <c r="M28" s="4">
        <v>0</v>
      </c>
      <c r="N28" s="4">
        <f>SUM(I28:M28)</f>
        <v>60000</v>
      </c>
    </row>
    <row r="29" spans="1:14">
      <c r="A29" s="5">
        <v>24</v>
      </c>
      <c r="B29" s="3" t="s">
        <v>40</v>
      </c>
      <c r="C29" s="3">
        <v>0</v>
      </c>
      <c r="D29" s="3">
        <v>0</v>
      </c>
      <c r="E29" s="3">
        <f>AVERAGE(C29:D29)</f>
        <v>0</v>
      </c>
      <c r="F29" s="3" t="str">
        <f>IF(E29&gt;=90,"Sangat Baik",IF(E29&gt;=80,"Baik",IF(E29&gt;=70,"Cukup",IF(E29&gt;=60,"Kurang","Perlu Pembinaan"))))</f>
        <v>Perlu Pembinaan</v>
      </c>
      <c r="G29" s="3">
        <f>IF(E29&gt;=90,100%,IF(E29&gt;=80,90%,IF(E29&gt;=70,80%,IF(E29&gt;=60,70%,IF(E29&gt;=50,60%,IF(E29&gt;=40,50%,IF(E29&gt;=30,40%,30%)))))))</f>
        <v>0.3</v>
      </c>
      <c r="H29" s="4">
        <v>200000</v>
      </c>
      <c r="I29" s="4">
        <f>H29*G29</f>
        <v>60000</v>
      </c>
      <c r="J29" s="4">
        <v>0</v>
      </c>
      <c r="K29" s="4">
        <v>0</v>
      </c>
      <c r="L29" s="4">
        <v>0</v>
      </c>
      <c r="M29" s="4">
        <v>0</v>
      </c>
      <c r="N29" s="4">
        <f>SUM(I29:M29)</f>
        <v>60000</v>
      </c>
    </row>
    <row r="30" spans="1:14">
      <c r="A30" s="5">
        <v>25</v>
      </c>
      <c r="B30" s="3" t="s">
        <v>41</v>
      </c>
      <c r="C30" s="3">
        <v>0</v>
      </c>
      <c r="D30" s="3">
        <v>0</v>
      </c>
      <c r="E30" s="3">
        <f>AVERAGE(C30:D30)</f>
        <v>0</v>
      </c>
      <c r="F30" s="3" t="str">
        <f>IF(E30&gt;=90,"Sangat Baik",IF(E30&gt;=80,"Baik",IF(E30&gt;=70,"Cukup",IF(E30&gt;=60,"Kurang","Perlu Pembinaan"))))</f>
        <v>Perlu Pembinaan</v>
      </c>
      <c r="G30" s="3">
        <f>IF(E30&gt;=90,100%,IF(E30&gt;=80,90%,IF(E30&gt;=70,80%,IF(E30&gt;=60,70%,IF(E30&gt;=50,60%,IF(E30&gt;=40,50%,IF(E30&gt;=30,40%,30%)))))))</f>
        <v>0.3</v>
      </c>
      <c r="H30" s="4">
        <v>200000</v>
      </c>
      <c r="I30" s="4">
        <f>H30*G30</f>
        <v>60000</v>
      </c>
      <c r="J30" s="4">
        <v>0</v>
      </c>
      <c r="K30" s="4">
        <v>0</v>
      </c>
      <c r="L30" s="4">
        <v>0</v>
      </c>
      <c r="M30" s="4">
        <v>0</v>
      </c>
      <c r="N30" s="4">
        <f>SUM(I30:M30)</f>
        <v>60000</v>
      </c>
    </row>
    <row r="31" spans="1:14">
      <c r="A31" s="5">
        <v>26</v>
      </c>
      <c r="B31" s="3" t="s">
        <v>42</v>
      </c>
      <c r="C31" s="3">
        <v>0</v>
      </c>
      <c r="D31" s="3">
        <v>0</v>
      </c>
      <c r="E31" s="3">
        <f>AVERAGE(C31:D31)</f>
        <v>0</v>
      </c>
      <c r="F31" s="3" t="str">
        <f>IF(E31&gt;=90,"Sangat Baik",IF(E31&gt;=80,"Baik",IF(E31&gt;=70,"Cukup",IF(E31&gt;=60,"Kurang","Perlu Pembinaan"))))</f>
        <v>Perlu Pembinaan</v>
      </c>
      <c r="G31" s="3">
        <f>IF(E31&gt;=90,100%,IF(E31&gt;=80,90%,IF(E31&gt;=70,80%,IF(E31&gt;=60,70%,IF(E31&gt;=50,60%,IF(E31&gt;=40,50%,IF(E31&gt;=30,40%,30%)))))))</f>
        <v>0.3</v>
      </c>
      <c r="H31" s="4">
        <v>200000</v>
      </c>
      <c r="I31" s="4">
        <f>H31*G31</f>
        <v>60000</v>
      </c>
      <c r="J31" s="4">
        <v>0</v>
      </c>
      <c r="K31" s="4">
        <v>0</v>
      </c>
      <c r="L31" s="4">
        <v>0</v>
      </c>
      <c r="M31" s="4">
        <v>0</v>
      </c>
      <c r="N31" s="4">
        <f>SUM(I31:M31)</f>
        <v>60000</v>
      </c>
    </row>
    <row r="32" spans="1:14">
      <c r="A32" s="5">
        <v>27</v>
      </c>
      <c r="B32" s="3" t="s">
        <v>43</v>
      </c>
      <c r="C32" s="3">
        <v>0</v>
      </c>
      <c r="D32" s="3">
        <v>0</v>
      </c>
      <c r="E32" s="3">
        <f>AVERAGE(C32:D32)</f>
        <v>0</v>
      </c>
      <c r="F32" s="3" t="str">
        <f>IF(E32&gt;=90,"Sangat Baik",IF(E32&gt;=80,"Baik",IF(E32&gt;=70,"Cukup",IF(E32&gt;=60,"Kurang","Perlu Pembinaan"))))</f>
        <v>Perlu Pembinaan</v>
      </c>
      <c r="G32" s="3">
        <f>IF(E32&gt;=90,100%,IF(E32&gt;=80,90%,IF(E32&gt;=70,80%,IF(E32&gt;=60,70%,IF(E32&gt;=50,60%,IF(E32&gt;=40,50%,IF(E32&gt;=30,40%,30%)))))))</f>
        <v>0.3</v>
      </c>
      <c r="H32" s="4">
        <v>200000</v>
      </c>
      <c r="I32" s="4">
        <f>H32*G32</f>
        <v>60000</v>
      </c>
      <c r="J32" s="4">
        <v>0</v>
      </c>
      <c r="K32" s="4">
        <v>0</v>
      </c>
      <c r="L32" s="4">
        <v>0</v>
      </c>
      <c r="M32" s="4">
        <v>0</v>
      </c>
      <c r="N32" s="4">
        <f>SUM(I32:M32)</f>
        <v>60000</v>
      </c>
    </row>
    <row r="33" spans="1:14">
      <c r="A33" s="5">
        <v>28</v>
      </c>
      <c r="B33" s="3" t="s">
        <v>44</v>
      </c>
      <c r="C33" s="3">
        <v>0</v>
      </c>
      <c r="D33" s="3">
        <v>0</v>
      </c>
      <c r="E33" s="3">
        <f>AVERAGE(C33:D33)</f>
        <v>0</v>
      </c>
      <c r="F33" s="3" t="str">
        <f>IF(E33&gt;=90,"Sangat Baik",IF(E33&gt;=80,"Baik",IF(E33&gt;=70,"Cukup",IF(E33&gt;=60,"Kurang","Perlu Pembinaan"))))</f>
        <v>Perlu Pembinaan</v>
      </c>
      <c r="G33" s="3">
        <f>IF(E33&gt;=90,100%,IF(E33&gt;=80,90%,IF(E33&gt;=70,80%,IF(E33&gt;=60,70%,IF(E33&gt;=50,60%,IF(E33&gt;=40,50%,IF(E33&gt;=30,40%,30%)))))))</f>
        <v>0.3</v>
      </c>
      <c r="H33" s="4">
        <v>200000</v>
      </c>
      <c r="I33" s="4">
        <f>H33*G33</f>
        <v>60000</v>
      </c>
      <c r="J33" s="4">
        <v>0</v>
      </c>
      <c r="K33" s="4">
        <v>0</v>
      </c>
      <c r="L33" s="4">
        <v>0</v>
      </c>
      <c r="M33" s="4">
        <v>0</v>
      </c>
      <c r="N33" s="4">
        <f>SUM(I33:M33)</f>
        <v>60000</v>
      </c>
    </row>
    <row r="34" spans="1:14">
      <c r="A34" s="5">
        <v>29</v>
      </c>
      <c r="B34" s="3" t="s">
        <v>45</v>
      </c>
      <c r="C34" s="3">
        <v>0</v>
      </c>
      <c r="D34" s="3">
        <v>0</v>
      </c>
      <c r="E34" s="3">
        <f>AVERAGE(C34:D34)</f>
        <v>0</v>
      </c>
      <c r="F34" s="3" t="str">
        <f>IF(E34&gt;=90,"Sangat Baik",IF(E34&gt;=80,"Baik",IF(E34&gt;=70,"Cukup",IF(E34&gt;=60,"Kurang","Perlu Pembinaan"))))</f>
        <v>Perlu Pembinaan</v>
      </c>
      <c r="G34" s="3">
        <f>IF(E34&gt;=90,100%,IF(E34&gt;=80,90%,IF(E34&gt;=70,80%,IF(E34&gt;=60,70%,IF(E34&gt;=50,60%,IF(E34&gt;=40,50%,IF(E34&gt;=30,40%,30%)))))))</f>
        <v>0.3</v>
      </c>
      <c r="H34" s="4">
        <v>200000</v>
      </c>
      <c r="I34" s="4">
        <f>H34*G34</f>
        <v>60000</v>
      </c>
      <c r="J34" s="4">
        <v>0</v>
      </c>
      <c r="K34" s="4">
        <v>0</v>
      </c>
      <c r="L34" s="4">
        <v>0</v>
      </c>
      <c r="M34" s="4">
        <v>0</v>
      </c>
      <c r="N34" s="4">
        <f>SUM(I34:M34)</f>
        <v>60000</v>
      </c>
    </row>
    <row r="35" spans="1:14">
      <c r="A35" s="5">
        <v>30</v>
      </c>
      <c r="B35" s="3" t="s">
        <v>46</v>
      </c>
      <c r="C35" s="3">
        <v>0</v>
      </c>
      <c r="D35" s="3">
        <v>0</v>
      </c>
      <c r="E35" s="3">
        <f>AVERAGE(C35:D35)</f>
        <v>0</v>
      </c>
      <c r="F35" s="3" t="str">
        <f>IF(E35&gt;=90,"Sangat Baik",IF(E35&gt;=80,"Baik",IF(E35&gt;=70,"Cukup",IF(E35&gt;=60,"Kurang","Perlu Pembinaan"))))</f>
        <v>Perlu Pembinaan</v>
      </c>
      <c r="G35" s="3">
        <f>IF(E35&gt;=90,100%,IF(E35&gt;=80,90%,IF(E35&gt;=70,80%,IF(E35&gt;=60,70%,IF(E35&gt;=50,60%,IF(E35&gt;=40,50%,IF(E35&gt;=30,40%,30%)))))))</f>
        <v>0.3</v>
      </c>
      <c r="H35" s="4">
        <v>200000</v>
      </c>
      <c r="I35" s="4">
        <f>H35*G35</f>
        <v>60000</v>
      </c>
      <c r="J35" s="4">
        <v>0</v>
      </c>
      <c r="K35" s="4">
        <v>0</v>
      </c>
      <c r="L35" s="4">
        <v>0</v>
      </c>
      <c r="M35" s="4">
        <v>0</v>
      </c>
      <c r="N35" s="4">
        <f>SUM(I35:M35)</f>
        <v>60000</v>
      </c>
    </row>
    <row r="36" spans="1:14">
      <c r="A36" s="5">
        <v>31</v>
      </c>
      <c r="B36" s="3" t="s">
        <v>47</v>
      </c>
      <c r="C36" s="3">
        <v>0</v>
      </c>
      <c r="D36" s="3">
        <v>0</v>
      </c>
      <c r="E36" s="3">
        <f>AVERAGE(C36:D36)</f>
        <v>0</v>
      </c>
      <c r="F36" s="3" t="str">
        <f>IF(E36&gt;=90,"Sangat Baik",IF(E36&gt;=80,"Baik",IF(E36&gt;=70,"Cukup",IF(E36&gt;=60,"Kurang","Perlu Pembinaan"))))</f>
        <v>Perlu Pembinaan</v>
      </c>
      <c r="G36" s="3">
        <f>IF(E36&gt;=90,100%,IF(E36&gt;=80,90%,IF(E36&gt;=70,80%,IF(E36&gt;=60,70%,IF(E36&gt;=50,60%,IF(E36&gt;=40,50%,IF(E36&gt;=30,40%,30%)))))))</f>
        <v>0.3</v>
      </c>
      <c r="H36" s="4">
        <v>200000</v>
      </c>
      <c r="I36" s="4">
        <f>H36*G36</f>
        <v>60000</v>
      </c>
      <c r="J36" s="4">
        <v>0</v>
      </c>
      <c r="K36" s="4">
        <v>0</v>
      </c>
      <c r="L36" s="4">
        <v>0</v>
      </c>
      <c r="M36" s="4">
        <v>0</v>
      </c>
      <c r="N36" s="4">
        <f>SUM(I36:M36)</f>
        <v>60000</v>
      </c>
    </row>
    <row r="37" spans="1:14">
      <c r="A37" s="5">
        <v>32</v>
      </c>
      <c r="B37" s="3" t="s">
        <v>48</v>
      </c>
      <c r="C37" s="3">
        <v>0</v>
      </c>
      <c r="D37" s="3">
        <v>0</v>
      </c>
      <c r="E37" s="3">
        <f>AVERAGE(C37:D37)</f>
        <v>0</v>
      </c>
      <c r="F37" s="3" t="str">
        <f>IF(E37&gt;=90,"Sangat Baik",IF(E37&gt;=80,"Baik",IF(E37&gt;=70,"Cukup",IF(E37&gt;=60,"Kurang","Perlu Pembinaan"))))</f>
        <v>Perlu Pembinaan</v>
      </c>
      <c r="G37" s="3">
        <f>IF(E37&gt;=90,100%,IF(E37&gt;=80,90%,IF(E37&gt;=70,80%,IF(E37&gt;=60,70%,IF(E37&gt;=50,60%,IF(E37&gt;=40,50%,IF(E37&gt;=30,40%,30%)))))))</f>
        <v>0.3</v>
      </c>
      <c r="H37" s="4">
        <v>200000</v>
      </c>
      <c r="I37" s="4">
        <f>H37*G37</f>
        <v>60000</v>
      </c>
      <c r="J37" s="4">
        <v>0</v>
      </c>
      <c r="K37" s="4">
        <v>0</v>
      </c>
      <c r="L37" s="4">
        <v>0</v>
      </c>
      <c r="M37" s="4">
        <v>0</v>
      </c>
      <c r="N37" s="4">
        <f>SUM(I37:M37)</f>
        <v>60000</v>
      </c>
    </row>
    <row r="38" spans="1:14">
      <c r="A38" s="5">
        <v>33</v>
      </c>
      <c r="B38" s="3" t="s">
        <v>49</v>
      </c>
      <c r="C38" s="3">
        <v>0</v>
      </c>
      <c r="D38" s="3">
        <v>0</v>
      </c>
      <c r="E38" s="3">
        <f>AVERAGE(C38:D38)</f>
        <v>0</v>
      </c>
      <c r="F38" s="3" t="str">
        <f>IF(E38&gt;=90,"Sangat Baik",IF(E38&gt;=80,"Baik",IF(E38&gt;=70,"Cukup",IF(E38&gt;=60,"Kurang","Perlu Pembinaan"))))</f>
        <v>Perlu Pembinaan</v>
      </c>
      <c r="G38" s="3">
        <f>IF(E38&gt;=90,100%,IF(E38&gt;=80,90%,IF(E38&gt;=70,80%,IF(E38&gt;=60,70%,IF(E38&gt;=50,60%,IF(E38&gt;=40,50%,IF(E38&gt;=30,40%,30%)))))))</f>
        <v>0.3</v>
      </c>
      <c r="H38" s="4">
        <v>200000</v>
      </c>
      <c r="I38" s="4">
        <f>H38*G38</f>
        <v>60000</v>
      </c>
      <c r="J38" s="4">
        <v>0</v>
      </c>
      <c r="K38" s="4">
        <v>0</v>
      </c>
      <c r="L38" s="4">
        <v>0</v>
      </c>
      <c r="M38" s="4">
        <v>0</v>
      </c>
      <c r="N38" s="4">
        <f>SUM(I38:M38)</f>
        <v>60000</v>
      </c>
    </row>
    <row r="39" spans="1:14">
      <c r="A39" s="5">
        <v>34</v>
      </c>
      <c r="B39" s="3" t="s">
        <v>50</v>
      </c>
      <c r="C39" s="3">
        <v>0</v>
      </c>
      <c r="D39" s="3">
        <v>0</v>
      </c>
      <c r="E39" s="3">
        <f>AVERAGE(C39:D39)</f>
        <v>0</v>
      </c>
      <c r="F39" s="3" t="str">
        <f>IF(E39&gt;=90,"Sangat Baik",IF(E39&gt;=80,"Baik",IF(E39&gt;=70,"Cukup",IF(E39&gt;=60,"Kurang","Perlu Pembinaan"))))</f>
        <v>Perlu Pembinaan</v>
      </c>
      <c r="G39" s="3">
        <f>IF(E39&gt;=90,100%,IF(E39&gt;=80,90%,IF(E39&gt;=70,80%,IF(E39&gt;=60,70%,IF(E39&gt;=50,60%,IF(E39&gt;=40,50%,IF(E39&gt;=30,40%,30%)))))))</f>
        <v>0.3</v>
      </c>
      <c r="H39" s="4">
        <v>200000</v>
      </c>
      <c r="I39" s="4">
        <f>H39*G39</f>
        <v>60000</v>
      </c>
      <c r="J39" s="4">
        <v>0</v>
      </c>
      <c r="K39" s="4">
        <v>0</v>
      </c>
      <c r="L39" s="4">
        <v>0</v>
      </c>
      <c r="M39" s="4">
        <v>0</v>
      </c>
      <c r="N39" s="4">
        <f>SUM(I39:M39)</f>
        <v>60000</v>
      </c>
    </row>
    <row r="40" spans="1:14">
      <c r="A40" s="5">
        <v>35</v>
      </c>
      <c r="B40" s="3" t="s">
        <v>51</v>
      </c>
      <c r="C40" s="3">
        <v>0</v>
      </c>
      <c r="D40" s="3">
        <v>0</v>
      </c>
      <c r="E40" s="3">
        <f>AVERAGE(C40:D40)</f>
        <v>0</v>
      </c>
      <c r="F40" s="3" t="str">
        <f>IF(E40&gt;=90,"Sangat Baik",IF(E40&gt;=80,"Baik",IF(E40&gt;=70,"Cukup",IF(E40&gt;=60,"Kurang","Perlu Pembinaan"))))</f>
        <v>Perlu Pembinaan</v>
      </c>
      <c r="G40" s="3">
        <f>IF(E40&gt;=90,100%,IF(E40&gt;=80,90%,IF(E40&gt;=70,80%,IF(E40&gt;=60,70%,IF(E40&gt;=50,60%,IF(E40&gt;=40,50%,IF(E40&gt;=30,40%,30%)))))))</f>
        <v>0.3</v>
      </c>
      <c r="H40" s="4">
        <v>200000</v>
      </c>
      <c r="I40" s="4">
        <f>H40*G40</f>
        <v>60000</v>
      </c>
      <c r="J40" s="4">
        <v>0</v>
      </c>
      <c r="K40" s="4">
        <v>0</v>
      </c>
      <c r="L40" s="4">
        <v>0</v>
      </c>
      <c r="M40" s="4">
        <v>0</v>
      </c>
      <c r="N40" s="4">
        <f>SUM(I40:M40)</f>
        <v>60000</v>
      </c>
    </row>
    <row r="41" spans="1:14">
      <c r="A41" s="5">
        <v>36</v>
      </c>
      <c r="B41" s="3" t="s">
        <v>52</v>
      </c>
      <c r="C41" s="3">
        <v>0</v>
      </c>
      <c r="D41" s="3">
        <v>0</v>
      </c>
      <c r="E41" s="3">
        <f>AVERAGE(C41:D41)</f>
        <v>0</v>
      </c>
      <c r="F41" s="3" t="str">
        <f>IF(E41&gt;=90,"Sangat Baik",IF(E41&gt;=80,"Baik",IF(E41&gt;=70,"Cukup",IF(E41&gt;=60,"Kurang","Perlu Pembinaan"))))</f>
        <v>Perlu Pembinaan</v>
      </c>
      <c r="G41" s="3">
        <f>IF(E41&gt;=90,100%,IF(E41&gt;=80,90%,IF(E41&gt;=70,80%,IF(E41&gt;=60,70%,IF(E41&gt;=50,60%,IF(E41&gt;=40,50%,IF(E41&gt;=30,40%,30%)))))))</f>
        <v>0.3</v>
      </c>
      <c r="H41" s="4">
        <v>200000</v>
      </c>
      <c r="I41" s="4">
        <f>H41*G41</f>
        <v>60000</v>
      </c>
      <c r="J41" s="4">
        <v>0</v>
      </c>
      <c r="K41" s="4">
        <v>0</v>
      </c>
      <c r="L41" s="4">
        <v>0</v>
      </c>
      <c r="M41" s="4">
        <v>0</v>
      </c>
      <c r="N41" s="4">
        <f>SUM(I41:M41)</f>
        <v>60000</v>
      </c>
    </row>
    <row r="42" spans="1:14">
      <c r="A42" s="5">
        <v>37</v>
      </c>
      <c r="B42" s="3" t="s">
        <v>53</v>
      </c>
      <c r="C42" s="3">
        <v>0</v>
      </c>
      <c r="D42" s="3">
        <v>0</v>
      </c>
      <c r="E42" s="3">
        <f>AVERAGE(C42:D42)</f>
        <v>0</v>
      </c>
      <c r="F42" s="3" t="str">
        <f>IF(E42&gt;=90,"Sangat Baik",IF(E42&gt;=80,"Baik",IF(E42&gt;=70,"Cukup",IF(E42&gt;=60,"Kurang","Perlu Pembinaan"))))</f>
        <v>Perlu Pembinaan</v>
      </c>
      <c r="G42" s="3">
        <f>IF(E42&gt;=90,100%,IF(E42&gt;=80,90%,IF(E42&gt;=70,80%,IF(E42&gt;=60,70%,IF(E42&gt;=50,60%,IF(E42&gt;=40,50%,IF(E42&gt;=30,40%,30%)))))))</f>
        <v>0.3</v>
      </c>
      <c r="H42" s="4">
        <v>200000</v>
      </c>
      <c r="I42" s="4">
        <f>H42*G42</f>
        <v>60000</v>
      </c>
      <c r="J42" s="4">
        <v>0</v>
      </c>
      <c r="K42" s="4">
        <v>0</v>
      </c>
      <c r="L42" s="4">
        <v>0</v>
      </c>
      <c r="M42" s="4">
        <v>0</v>
      </c>
      <c r="N42" s="4">
        <f>SUM(I42:M42)</f>
        <v>60000</v>
      </c>
    </row>
    <row r="43" spans="1:14">
      <c r="A43" s="5">
        <v>38</v>
      </c>
      <c r="B43" s="3" t="s">
        <v>54</v>
      </c>
      <c r="C43" s="3">
        <v>0</v>
      </c>
      <c r="D43" s="3">
        <v>0</v>
      </c>
      <c r="E43" s="3">
        <f>AVERAGE(C43:D43)</f>
        <v>0</v>
      </c>
      <c r="F43" s="3" t="str">
        <f>IF(E43&gt;=90,"Sangat Baik",IF(E43&gt;=80,"Baik",IF(E43&gt;=70,"Cukup",IF(E43&gt;=60,"Kurang","Perlu Pembinaan"))))</f>
        <v>Perlu Pembinaan</v>
      </c>
      <c r="G43" s="3">
        <f>IF(E43&gt;=90,100%,IF(E43&gt;=80,90%,IF(E43&gt;=70,80%,IF(E43&gt;=60,70%,IF(E43&gt;=50,60%,IF(E43&gt;=40,50%,IF(E43&gt;=30,40%,30%)))))))</f>
        <v>0.3</v>
      </c>
      <c r="H43" s="4">
        <v>200000</v>
      </c>
      <c r="I43" s="4">
        <f>H43*G43</f>
        <v>60000</v>
      </c>
      <c r="J43" s="4">
        <v>0</v>
      </c>
      <c r="K43" s="4">
        <v>0</v>
      </c>
      <c r="L43" s="4">
        <v>0</v>
      </c>
      <c r="M43" s="4">
        <v>0</v>
      </c>
      <c r="N43" s="4">
        <f>SUM(I43:M43)</f>
        <v>60000</v>
      </c>
    </row>
    <row r="44" spans="1:14">
      <c r="A44" s="5">
        <v>39</v>
      </c>
      <c r="B44" s="3" t="s">
        <v>55</v>
      </c>
      <c r="C44" s="3">
        <v>0</v>
      </c>
      <c r="D44" s="3">
        <v>0</v>
      </c>
      <c r="E44" s="3">
        <f>AVERAGE(C44:D44)</f>
        <v>0</v>
      </c>
      <c r="F44" s="3" t="str">
        <f>IF(E44&gt;=90,"Sangat Baik",IF(E44&gt;=80,"Baik",IF(E44&gt;=70,"Cukup",IF(E44&gt;=60,"Kurang","Perlu Pembinaan"))))</f>
        <v>Perlu Pembinaan</v>
      </c>
      <c r="G44" s="3">
        <f>IF(E44&gt;=90,100%,IF(E44&gt;=80,90%,IF(E44&gt;=70,80%,IF(E44&gt;=60,70%,IF(E44&gt;=50,60%,IF(E44&gt;=40,50%,IF(E44&gt;=30,40%,30%)))))))</f>
        <v>0.3</v>
      </c>
      <c r="H44" s="4">
        <v>200000</v>
      </c>
      <c r="I44" s="4">
        <f>H44*G44</f>
        <v>60000</v>
      </c>
      <c r="J44" s="4">
        <v>0</v>
      </c>
      <c r="K44" s="4">
        <v>0</v>
      </c>
      <c r="L44" s="4">
        <v>0</v>
      </c>
      <c r="M44" s="4">
        <v>0</v>
      </c>
      <c r="N44" s="4">
        <f>SUM(I44:M44)</f>
        <v>60000</v>
      </c>
    </row>
    <row r="45" spans="1:14">
      <c r="A45" s="5">
        <v>40</v>
      </c>
      <c r="B45" s="3" t="s">
        <v>56</v>
      </c>
      <c r="C45" s="3">
        <v>0</v>
      </c>
      <c r="D45" s="3">
        <v>0</v>
      </c>
      <c r="E45" s="3">
        <f>AVERAGE(C45:D45)</f>
        <v>0</v>
      </c>
      <c r="F45" s="3" t="str">
        <f>IF(E45&gt;=90,"Sangat Baik",IF(E45&gt;=80,"Baik",IF(E45&gt;=70,"Cukup",IF(E45&gt;=60,"Kurang","Perlu Pembinaan"))))</f>
        <v>Perlu Pembinaan</v>
      </c>
      <c r="G45" s="3">
        <f>IF(E45&gt;=90,100%,IF(E45&gt;=80,90%,IF(E45&gt;=70,80%,IF(E45&gt;=60,70%,IF(E45&gt;=50,60%,IF(E45&gt;=40,50%,IF(E45&gt;=30,40%,30%)))))))</f>
        <v>0.3</v>
      </c>
      <c r="H45" s="4">
        <v>200000</v>
      </c>
      <c r="I45" s="4">
        <f>H45*G45</f>
        <v>60000</v>
      </c>
      <c r="J45" s="4">
        <v>0</v>
      </c>
      <c r="K45" s="4">
        <v>0</v>
      </c>
      <c r="L45" s="4">
        <v>0</v>
      </c>
      <c r="M45" s="4">
        <v>0</v>
      </c>
      <c r="N45" s="4">
        <f>SUM(I45:M45)</f>
        <v>60000</v>
      </c>
    </row>
    <row r="46" spans="1:14">
      <c r="A46" s="5">
        <v>41</v>
      </c>
      <c r="B46" s="3" t="s">
        <v>57</v>
      </c>
      <c r="C46" s="3">
        <v>0</v>
      </c>
      <c r="D46" s="3">
        <v>0</v>
      </c>
      <c r="E46" s="3">
        <f>AVERAGE(C46:D46)</f>
        <v>0</v>
      </c>
      <c r="F46" s="3" t="str">
        <f>IF(E46&gt;=90,"Sangat Baik",IF(E46&gt;=80,"Baik",IF(E46&gt;=70,"Cukup",IF(E46&gt;=60,"Kurang","Perlu Pembinaan"))))</f>
        <v>Perlu Pembinaan</v>
      </c>
      <c r="G46" s="3">
        <f>IF(E46&gt;=90,100%,IF(E46&gt;=80,90%,IF(E46&gt;=70,80%,IF(E46&gt;=60,70%,IF(E46&gt;=50,60%,IF(E46&gt;=40,50%,IF(E46&gt;=30,40%,30%)))))))</f>
        <v>0.3</v>
      </c>
      <c r="H46" s="4">
        <v>200000</v>
      </c>
      <c r="I46" s="4">
        <f>H46*G46</f>
        <v>60000</v>
      </c>
      <c r="J46" s="4">
        <v>0</v>
      </c>
      <c r="K46" s="4">
        <v>0</v>
      </c>
      <c r="L46" s="4">
        <v>0</v>
      </c>
      <c r="M46" s="4">
        <v>0</v>
      </c>
      <c r="N46" s="4">
        <f>SUM(I46:M46)</f>
        <v>60000</v>
      </c>
    </row>
    <row r="47" spans="1:14">
      <c r="A47" s="5">
        <v>42</v>
      </c>
      <c r="B47" s="3" t="s">
        <v>58</v>
      </c>
      <c r="C47" s="3">
        <v>0</v>
      </c>
      <c r="D47" s="3">
        <v>0</v>
      </c>
      <c r="E47" s="3">
        <f>AVERAGE(C47:D47)</f>
        <v>0</v>
      </c>
      <c r="F47" s="3" t="str">
        <f>IF(E47&gt;=90,"Sangat Baik",IF(E47&gt;=80,"Baik",IF(E47&gt;=70,"Cukup",IF(E47&gt;=60,"Kurang","Perlu Pembinaan"))))</f>
        <v>Perlu Pembinaan</v>
      </c>
      <c r="G47" s="3">
        <f>IF(E47&gt;=90,100%,IF(E47&gt;=80,90%,IF(E47&gt;=70,80%,IF(E47&gt;=60,70%,IF(E47&gt;=50,60%,IF(E47&gt;=40,50%,IF(E47&gt;=30,40%,30%)))))))</f>
        <v>0.3</v>
      </c>
      <c r="H47" s="4">
        <v>200000</v>
      </c>
      <c r="I47" s="4">
        <f>H47*G47</f>
        <v>60000</v>
      </c>
      <c r="J47" s="4">
        <v>0</v>
      </c>
      <c r="K47" s="4">
        <v>0</v>
      </c>
      <c r="L47" s="4">
        <v>0</v>
      </c>
      <c r="M47" s="4">
        <v>0</v>
      </c>
      <c r="N47" s="4">
        <f>SUM(I47:M47)</f>
        <v>60000</v>
      </c>
    </row>
    <row r="48" spans="1:14">
      <c r="A48" s="5">
        <v>43</v>
      </c>
      <c r="B48" s="3" t="s">
        <v>59</v>
      </c>
      <c r="C48" s="3">
        <v>0</v>
      </c>
      <c r="D48" s="3">
        <v>0</v>
      </c>
      <c r="E48" s="3">
        <f>AVERAGE(C48:D48)</f>
        <v>0</v>
      </c>
      <c r="F48" s="3" t="str">
        <f>IF(E48&gt;=90,"Sangat Baik",IF(E48&gt;=80,"Baik",IF(E48&gt;=70,"Cukup",IF(E48&gt;=60,"Kurang","Perlu Pembinaan"))))</f>
        <v>Perlu Pembinaan</v>
      </c>
      <c r="G48" s="3">
        <f>IF(E48&gt;=90,100%,IF(E48&gt;=80,90%,IF(E48&gt;=70,80%,IF(E48&gt;=60,70%,IF(E48&gt;=50,60%,IF(E48&gt;=40,50%,IF(E48&gt;=30,40%,30%)))))))</f>
        <v>0.3</v>
      </c>
      <c r="H48" s="4">
        <v>200000</v>
      </c>
      <c r="I48" s="4">
        <f>H48*G48</f>
        <v>60000</v>
      </c>
      <c r="J48" s="4">
        <v>0</v>
      </c>
      <c r="K48" s="4">
        <v>0</v>
      </c>
      <c r="L48" s="4">
        <v>0</v>
      </c>
      <c r="M48" s="4">
        <v>0</v>
      </c>
      <c r="N48" s="4">
        <f>SUM(I48:M48)</f>
        <v>60000</v>
      </c>
    </row>
    <row r="49" spans="1:14">
      <c r="A49" s="5">
        <v>44</v>
      </c>
      <c r="B49" s="3" t="s">
        <v>60</v>
      </c>
      <c r="C49" s="3">
        <v>0</v>
      </c>
      <c r="D49" s="3">
        <v>0</v>
      </c>
      <c r="E49" s="3">
        <f>AVERAGE(C49:D49)</f>
        <v>0</v>
      </c>
      <c r="F49" s="3" t="str">
        <f>IF(E49&gt;=90,"Sangat Baik",IF(E49&gt;=80,"Baik",IF(E49&gt;=70,"Cukup",IF(E49&gt;=60,"Kurang","Perlu Pembinaan"))))</f>
        <v>Perlu Pembinaan</v>
      </c>
      <c r="G49" s="3">
        <f>IF(E49&gt;=90,100%,IF(E49&gt;=80,90%,IF(E49&gt;=70,80%,IF(E49&gt;=60,70%,IF(E49&gt;=50,60%,IF(E49&gt;=40,50%,IF(E49&gt;=30,40%,30%)))))))</f>
        <v>0.3</v>
      </c>
      <c r="H49" s="4">
        <v>200000</v>
      </c>
      <c r="I49" s="4">
        <f>H49*G49</f>
        <v>60000</v>
      </c>
      <c r="J49" s="4">
        <v>0</v>
      </c>
      <c r="K49" s="4">
        <v>0</v>
      </c>
      <c r="L49" s="4">
        <v>0</v>
      </c>
      <c r="M49" s="4">
        <v>0</v>
      </c>
      <c r="N49" s="4">
        <f>SUM(I49:M49)</f>
        <v>60000</v>
      </c>
    </row>
    <row r="50" spans="1:14">
      <c r="A50" s="5">
        <v>45</v>
      </c>
      <c r="B50" s="3" t="s">
        <v>61</v>
      </c>
      <c r="C50" s="3">
        <v>0</v>
      </c>
      <c r="D50" s="3">
        <v>0</v>
      </c>
      <c r="E50" s="3">
        <f>AVERAGE(C50:D50)</f>
        <v>0</v>
      </c>
      <c r="F50" s="3" t="str">
        <f>IF(E50&gt;=90,"Sangat Baik",IF(E50&gt;=80,"Baik",IF(E50&gt;=70,"Cukup",IF(E50&gt;=60,"Kurang","Perlu Pembinaan"))))</f>
        <v>Perlu Pembinaan</v>
      </c>
      <c r="G50" s="3">
        <f>IF(E50&gt;=90,100%,IF(E50&gt;=80,90%,IF(E50&gt;=70,80%,IF(E50&gt;=60,70%,IF(E50&gt;=50,60%,IF(E50&gt;=40,50%,IF(E50&gt;=30,40%,30%)))))))</f>
        <v>0.3</v>
      </c>
      <c r="H50" s="4">
        <v>200000</v>
      </c>
      <c r="I50" s="4">
        <f>H50*G50</f>
        <v>60000</v>
      </c>
      <c r="J50" s="4">
        <v>0</v>
      </c>
      <c r="K50" s="4">
        <v>0</v>
      </c>
      <c r="L50" s="4">
        <v>0</v>
      </c>
      <c r="M50" s="4">
        <v>0</v>
      </c>
      <c r="N50" s="4">
        <f>SUM(I50:M50)</f>
        <v>60000</v>
      </c>
    </row>
    <row r="51" spans="1:14">
      <c r="A51" s="5">
        <v>46</v>
      </c>
      <c r="B51" s="3" t="s">
        <v>62</v>
      </c>
      <c r="C51" s="3">
        <v>0</v>
      </c>
      <c r="D51" s="3">
        <v>0</v>
      </c>
      <c r="E51" s="3">
        <f>AVERAGE(C51:D51)</f>
        <v>0</v>
      </c>
      <c r="F51" s="3" t="str">
        <f>IF(E51&gt;=90,"Sangat Baik",IF(E51&gt;=80,"Baik",IF(E51&gt;=70,"Cukup",IF(E51&gt;=60,"Kurang","Perlu Pembinaan"))))</f>
        <v>Perlu Pembinaan</v>
      </c>
      <c r="G51" s="3">
        <f>IF(E51&gt;=90,100%,IF(E51&gt;=80,90%,IF(E51&gt;=70,80%,IF(E51&gt;=60,70%,IF(E51&gt;=50,60%,IF(E51&gt;=40,50%,IF(E51&gt;=30,40%,30%)))))))</f>
        <v>0.3</v>
      </c>
      <c r="H51" s="4">
        <v>200000</v>
      </c>
      <c r="I51" s="4">
        <f>H51*G51</f>
        <v>60000</v>
      </c>
      <c r="J51" s="4">
        <v>0</v>
      </c>
      <c r="K51" s="4">
        <v>0</v>
      </c>
      <c r="L51" s="4">
        <v>0</v>
      </c>
      <c r="M51" s="4">
        <v>0</v>
      </c>
      <c r="N51" s="4">
        <f>SUM(I51:M51)</f>
        <v>60000</v>
      </c>
    </row>
    <row r="52" spans="1:14">
      <c r="A52" s="5">
        <v>47</v>
      </c>
      <c r="B52" s="3" t="s">
        <v>63</v>
      </c>
      <c r="C52" s="3">
        <v>0</v>
      </c>
      <c r="D52" s="3">
        <v>0</v>
      </c>
      <c r="E52" s="3">
        <f>AVERAGE(C52:D52)</f>
        <v>0</v>
      </c>
      <c r="F52" s="3" t="str">
        <f>IF(E52&gt;=90,"Sangat Baik",IF(E52&gt;=80,"Baik",IF(E52&gt;=70,"Cukup",IF(E52&gt;=60,"Kurang","Perlu Pembinaan"))))</f>
        <v>Perlu Pembinaan</v>
      </c>
      <c r="G52" s="3">
        <f>IF(E52&gt;=90,100%,IF(E52&gt;=80,90%,IF(E52&gt;=70,80%,IF(E52&gt;=60,70%,IF(E52&gt;=50,60%,IF(E52&gt;=40,50%,IF(E52&gt;=30,40%,30%)))))))</f>
        <v>0.3</v>
      </c>
      <c r="H52" s="4">
        <v>200000</v>
      </c>
      <c r="I52" s="4">
        <f>H52*G52</f>
        <v>60000</v>
      </c>
      <c r="J52" s="4">
        <v>0</v>
      </c>
      <c r="K52" s="4">
        <v>0</v>
      </c>
      <c r="L52" s="4">
        <v>0</v>
      </c>
      <c r="M52" s="4">
        <v>0</v>
      </c>
      <c r="N52" s="4">
        <f>SUM(I52:M52)</f>
        <v>60000</v>
      </c>
    </row>
    <row r="53" spans="1:14">
      <c r="A53" s="5">
        <v>48</v>
      </c>
      <c r="B53" s="3" t="s">
        <v>64</v>
      </c>
      <c r="C53" s="3">
        <v>0</v>
      </c>
      <c r="D53" s="3">
        <v>0</v>
      </c>
      <c r="E53" s="3">
        <f>AVERAGE(C53:D53)</f>
        <v>0</v>
      </c>
      <c r="F53" s="3" t="str">
        <f>IF(E53&gt;=90,"Sangat Baik",IF(E53&gt;=80,"Baik",IF(E53&gt;=70,"Cukup",IF(E53&gt;=60,"Kurang","Perlu Pembinaan"))))</f>
        <v>Perlu Pembinaan</v>
      </c>
      <c r="G53" s="3">
        <f>IF(E53&gt;=90,100%,IF(E53&gt;=80,90%,IF(E53&gt;=70,80%,IF(E53&gt;=60,70%,IF(E53&gt;=50,60%,IF(E53&gt;=40,50%,IF(E53&gt;=30,40%,30%)))))))</f>
        <v>0.3</v>
      </c>
      <c r="H53" s="4">
        <v>200000</v>
      </c>
      <c r="I53" s="4">
        <f>H53*G53</f>
        <v>60000</v>
      </c>
      <c r="J53" s="4">
        <v>0</v>
      </c>
      <c r="K53" s="4">
        <v>0</v>
      </c>
      <c r="L53" s="4">
        <v>0</v>
      </c>
      <c r="M53" s="4">
        <v>0</v>
      </c>
      <c r="N53" s="4">
        <f>SUM(I53:M53)</f>
        <v>60000</v>
      </c>
    </row>
    <row r="54" spans="1:14">
      <c r="A54" s="5">
        <v>49</v>
      </c>
      <c r="B54" s="3" t="s">
        <v>65</v>
      </c>
      <c r="C54" s="3">
        <v>0</v>
      </c>
      <c r="D54" s="3">
        <v>0</v>
      </c>
      <c r="E54" s="3">
        <f>AVERAGE(C54:D54)</f>
        <v>0</v>
      </c>
      <c r="F54" s="3" t="str">
        <f>IF(E54&gt;=90,"Sangat Baik",IF(E54&gt;=80,"Baik",IF(E54&gt;=70,"Cukup",IF(E54&gt;=60,"Kurang","Perlu Pembinaan"))))</f>
        <v>Perlu Pembinaan</v>
      </c>
      <c r="G54" s="3">
        <f>IF(E54&gt;=90,100%,IF(E54&gt;=80,90%,IF(E54&gt;=70,80%,IF(E54&gt;=60,70%,IF(E54&gt;=50,60%,IF(E54&gt;=40,50%,IF(E54&gt;=30,40%,30%)))))))</f>
        <v>0.3</v>
      </c>
      <c r="H54" s="4">
        <v>200000</v>
      </c>
      <c r="I54" s="4">
        <f>H54*G54</f>
        <v>60000</v>
      </c>
      <c r="J54" s="4">
        <v>0</v>
      </c>
      <c r="K54" s="4">
        <v>0</v>
      </c>
      <c r="L54" s="4">
        <v>0</v>
      </c>
      <c r="M54" s="4">
        <v>0</v>
      </c>
      <c r="N54" s="4">
        <f>SUM(I54:M54)</f>
        <v>60000</v>
      </c>
    </row>
    <row r="55" spans="1:14">
      <c r="A55" s="5">
        <v>50</v>
      </c>
      <c r="B55" s="3" t="s">
        <v>66</v>
      </c>
      <c r="C55" s="3">
        <v>0</v>
      </c>
      <c r="D55" s="3">
        <v>0</v>
      </c>
      <c r="E55" s="3">
        <f>AVERAGE(C55:D55)</f>
        <v>0</v>
      </c>
      <c r="F55" s="3" t="str">
        <f>IF(E55&gt;=90,"Sangat Baik",IF(E55&gt;=80,"Baik",IF(E55&gt;=70,"Cukup",IF(E55&gt;=60,"Kurang","Perlu Pembinaan"))))</f>
        <v>Perlu Pembinaan</v>
      </c>
      <c r="G55" s="3">
        <f>IF(E55&gt;=90,100%,IF(E55&gt;=80,90%,IF(E55&gt;=70,80%,IF(E55&gt;=60,70%,IF(E55&gt;=50,60%,IF(E55&gt;=40,50%,IF(E55&gt;=30,40%,30%)))))))</f>
        <v>0.3</v>
      </c>
      <c r="H55" s="4">
        <v>200000</v>
      </c>
      <c r="I55" s="4">
        <f>H55*G55</f>
        <v>60000</v>
      </c>
      <c r="J55" s="4">
        <v>0</v>
      </c>
      <c r="K55" s="4">
        <v>0</v>
      </c>
      <c r="L55" s="4">
        <v>0</v>
      </c>
      <c r="M55" s="4">
        <v>0</v>
      </c>
      <c r="N55" s="4">
        <f>SUM(I55:M55)</f>
        <v>60000</v>
      </c>
    </row>
    <row r="56" spans="1:14">
      <c r="A56" s="5">
        <v>51</v>
      </c>
      <c r="B56" s="3" t="s">
        <v>67</v>
      </c>
      <c r="C56" s="3">
        <v>0</v>
      </c>
      <c r="D56" s="3">
        <v>0</v>
      </c>
      <c r="E56" s="3">
        <f>AVERAGE(C56:D56)</f>
        <v>0</v>
      </c>
      <c r="F56" s="3" t="str">
        <f>IF(E56&gt;=90,"Sangat Baik",IF(E56&gt;=80,"Baik",IF(E56&gt;=70,"Cukup",IF(E56&gt;=60,"Kurang","Perlu Pembinaan"))))</f>
        <v>Perlu Pembinaan</v>
      </c>
      <c r="G56" s="3">
        <f>IF(E56&gt;=90,100%,IF(E56&gt;=80,90%,IF(E56&gt;=70,80%,IF(E56&gt;=60,70%,IF(E56&gt;=50,60%,IF(E56&gt;=40,50%,IF(E56&gt;=30,40%,30%)))))))</f>
        <v>0.3</v>
      </c>
      <c r="H56" s="4">
        <v>200000</v>
      </c>
      <c r="I56" s="4">
        <f>H56*G56</f>
        <v>60000</v>
      </c>
      <c r="J56" s="4">
        <v>0</v>
      </c>
      <c r="K56" s="4">
        <v>0</v>
      </c>
      <c r="L56" s="4">
        <v>0</v>
      </c>
      <c r="M56" s="4">
        <v>0</v>
      </c>
      <c r="N56" s="4">
        <f>SUM(I56:M56)</f>
        <v>60000</v>
      </c>
    </row>
    <row r="57" spans="1:14">
      <c r="A57" s="5">
        <v>52</v>
      </c>
      <c r="B57" s="3" t="s">
        <v>68</v>
      </c>
      <c r="C57" s="3">
        <v>0</v>
      </c>
      <c r="D57" s="3">
        <v>0</v>
      </c>
      <c r="E57" s="3">
        <f>AVERAGE(C57:D57)</f>
        <v>0</v>
      </c>
      <c r="F57" s="3" t="str">
        <f>IF(E57&gt;=90,"Sangat Baik",IF(E57&gt;=80,"Baik",IF(E57&gt;=70,"Cukup",IF(E57&gt;=60,"Kurang","Perlu Pembinaan"))))</f>
        <v>Perlu Pembinaan</v>
      </c>
      <c r="G57" s="3">
        <f>IF(E57&gt;=90,100%,IF(E57&gt;=80,90%,IF(E57&gt;=70,80%,IF(E57&gt;=60,70%,IF(E57&gt;=50,60%,IF(E57&gt;=40,50%,IF(E57&gt;=30,40%,30%)))))))</f>
        <v>0.3</v>
      </c>
      <c r="H57" s="4">
        <v>200000</v>
      </c>
      <c r="I57" s="4">
        <f>H57*G57</f>
        <v>60000</v>
      </c>
      <c r="J57" s="4">
        <v>0</v>
      </c>
      <c r="K57" s="4">
        <v>0</v>
      </c>
      <c r="L57" s="4">
        <v>0</v>
      </c>
      <c r="M57" s="4">
        <v>0</v>
      </c>
      <c r="N57" s="4">
        <f>SUM(I57:M57)</f>
        <v>60000</v>
      </c>
    </row>
    <row r="58" spans="1:14">
      <c r="A58" s="5">
        <v>53</v>
      </c>
      <c r="B58" s="3" t="s">
        <v>69</v>
      </c>
      <c r="C58" s="3">
        <v>0</v>
      </c>
      <c r="D58" s="3">
        <v>0</v>
      </c>
      <c r="E58" s="3">
        <f>AVERAGE(C58:D58)</f>
        <v>0</v>
      </c>
      <c r="F58" s="3" t="str">
        <f>IF(E58&gt;=90,"Sangat Baik",IF(E58&gt;=80,"Baik",IF(E58&gt;=70,"Cukup",IF(E58&gt;=60,"Kurang","Perlu Pembinaan"))))</f>
        <v>Perlu Pembinaan</v>
      </c>
      <c r="G58" s="3">
        <f>IF(E58&gt;=90,100%,IF(E58&gt;=80,90%,IF(E58&gt;=70,80%,IF(E58&gt;=60,70%,IF(E58&gt;=50,60%,IF(E58&gt;=40,50%,IF(E58&gt;=30,40%,30%)))))))</f>
        <v>0.3</v>
      </c>
      <c r="H58" s="4">
        <v>200000</v>
      </c>
      <c r="I58" s="4">
        <f>H58*G58</f>
        <v>60000</v>
      </c>
      <c r="J58" s="4">
        <v>0</v>
      </c>
      <c r="K58" s="4">
        <v>0</v>
      </c>
      <c r="L58" s="4">
        <v>0</v>
      </c>
      <c r="M58" s="4">
        <v>0</v>
      </c>
      <c r="N58" s="4">
        <f>SUM(I58:M58)</f>
        <v>60000</v>
      </c>
    </row>
    <row r="59" spans="1:14">
      <c r="A59" s="5">
        <v>54</v>
      </c>
      <c r="B59" s="3" t="s">
        <v>70</v>
      </c>
      <c r="C59" s="3">
        <v>0</v>
      </c>
      <c r="D59" s="3">
        <v>0</v>
      </c>
      <c r="E59" s="3">
        <f>AVERAGE(C59:D59)</f>
        <v>0</v>
      </c>
      <c r="F59" s="3" t="str">
        <f>IF(E59&gt;=90,"Sangat Baik",IF(E59&gt;=80,"Baik",IF(E59&gt;=70,"Cukup",IF(E59&gt;=60,"Kurang","Perlu Pembinaan"))))</f>
        <v>Perlu Pembinaan</v>
      </c>
      <c r="G59" s="3">
        <f>IF(E59&gt;=90,100%,IF(E59&gt;=80,90%,IF(E59&gt;=70,80%,IF(E59&gt;=60,70%,IF(E59&gt;=50,60%,IF(E59&gt;=40,50%,IF(E59&gt;=30,40%,30%)))))))</f>
        <v>0.3</v>
      </c>
      <c r="H59" s="4">
        <v>200000</v>
      </c>
      <c r="I59" s="4">
        <f>H59*G59</f>
        <v>60000</v>
      </c>
      <c r="J59" s="4">
        <v>0</v>
      </c>
      <c r="K59" s="4">
        <v>0</v>
      </c>
      <c r="L59" s="4">
        <v>0</v>
      </c>
      <c r="M59" s="4">
        <v>0</v>
      </c>
      <c r="N59" s="4">
        <f>SUM(I59:M59)</f>
        <v>60000</v>
      </c>
    </row>
    <row r="60" spans="1:14">
      <c r="A60" s="5">
        <v>55</v>
      </c>
      <c r="B60" s="3" t="s">
        <v>71</v>
      </c>
      <c r="C60" s="3">
        <v>0</v>
      </c>
      <c r="D60" s="3">
        <v>0</v>
      </c>
      <c r="E60" s="3">
        <f>AVERAGE(C60:D60)</f>
        <v>0</v>
      </c>
      <c r="F60" s="3" t="str">
        <f>IF(E60&gt;=90,"Sangat Baik",IF(E60&gt;=80,"Baik",IF(E60&gt;=70,"Cukup",IF(E60&gt;=60,"Kurang","Perlu Pembinaan"))))</f>
        <v>Perlu Pembinaan</v>
      </c>
      <c r="G60" s="3">
        <f>IF(E60&gt;=90,100%,IF(E60&gt;=80,90%,IF(E60&gt;=70,80%,IF(E60&gt;=60,70%,IF(E60&gt;=50,60%,IF(E60&gt;=40,50%,IF(E60&gt;=30,40%,30%)))))))</f>
        <v>0.3</v>
      </c>
      <c r="H60" s="4">
        <v>200000</v>
      </c>
      <c r="I60" s="4">
        <f>H60*G60</f>
        <v>60000</v>
      </c>
      <c r="J60" s="4">
        <v>0</v>
      </c>
      <c r="K60" s="4">
        <v>0</v>
      </c>
      <c r="L60" s="4">
        <v>0</v>
      </c>
      <c r="M60" s="4">
        <v>0</v>
      </c>
      <c r="N60" s="4">
        <f>SUM(I60:M60)</f>
        <v>60000</v>
      </c>
    </row>
    <row r="61" spans="1:14">
      <c r="A61" s="5">
        <v>56</v>
      </c>
      <c r="B61" s="3" t="s">
        <v>72</v>
      </c>
      <c r="C61" s="3">
        <v>0</v>
      </c>
      <c r="D61" s="3">
        <v>0</v>
      </c>
      <c r="E61" s="3">
        <f>AVERAGE(C61:D61)</f>
        <v>0</v>
      </c>
      <c r="F61" s="3" t="str">
        <f>IF(E61&gt;=90,"Sangat Baik",IF(E61&gt;=80,"Baik",IF(E61&gt;=70,"Cukup",IF(E61&gt;=60,"Kurang","Perlu Pembinaan"))))</f>
        <v>Perlu Pembinaan</v>
      </c>
      <c r="G61" s="3">
        <f>IF(E61&gt;=90,100%,IF(E61&gt;=80,90%,IF(E61&gt;=70,80%,IF(E61&gt;=60,70%,IF(E61&gt;=50,60%,IF(E61&gt;=40,50%,IF(E61&gt;=30,40%,30%)))))))</f>
        <v>0.3</v>
      </c>
      <c r="H61" s="4">
        <v>200000</v>
      </c>
      <c r="I61" s="4">
        <f>H61*G61</f>
        <v>60000</v>
      </c>
      <c r="J61" s="4">
        <v>0</v>
      </c>
      <c r="K61" s="4">
        <v>0</v>
      </c>
      <c r="L61" s="4">
        <v>0</v>
      </c>
      <c r="M61" s="4">
        <v>0</v>
      </c>
      <c r="N61" s="4">
        <f>SUM(I61:M61)</f>
        <v>60000</v>
      </c>
    </row>
    <row r="62" spans="1:14">
      <c r="A62" s="5">
        <v>57</v>
      </c>
      <c r="B62" s="3" t="s">
        <v>73</v>
      </c>
      <c r="C62" s="3">
        <v>0</v>
      </c>
      <c r="D62" s="3">
        <v>0</v>
      </c>
      <c r="E62" s="3">
        <f>AVERAGE(C62:D62)</f>
        <v>0</v>
      </c>
      <c r="F62" s="3" t="str">
        <f>IF(E62&gt;=90,"Sangat Baik",IF(E62&gt;=80,"Baik",IF(E62&gt;=70,"Cukup",IF(E62&gt;=60,"Kurang","Perlu Pembinaan"))))</f>
        <v>Perlu Pembinaan</v>
      </c>
      <c r="G62" s="3">
        <f>IF(E62&gt;=90,100%,IF(E62&gt;=80,90%,IF(E62&gt;=70,80%,IF(E62&gt;=60,70%,IF(E62&gt;=50,60%,IF(E62&gt;=40,50%,IF(E62&gt;=30,40%,30%)))))))</f>
        <v>0.3</v>
      </c>
      <c r="H62" s="4">
        <v>200000</v>
      </c>
      <c r="I62" s="4">
        <f>H62*G62</f>
        <v>60000</v>
      </c>
      <c r="J62" s="4">
        <v>0</v>
      </c>
      <c r="K62" s="4">
        <v>0</v>
      </c>
      <c r="L62" s="4">
        <v>0</v>
      </c>
      <c r="M62" s="4">
        <v>0</v>
      </c>
      <c r="N62" s="4">
        <f>SUM(I62:M62)</f>
        <v>60000</v>
      </c>
    </row>
    <row r="63" spans="1:14">
      <c r="A63" s="5">
        <v>58</v>
      </c>
      <c r="B63" s="3" t="s">
        <v>74</v>
      </c>
      <c r="C63" s="3">
        <v>0</v>
      </c>
      <c r="D63" s="3">
        <v>0</v>
      </c>
      <c r="E63" s="3">
        <f>AVERAGE(C63:D63)</f>
        <v>0</v>
      </c>
      <c r="F63" s="3" t="str">
        <f>IF(E63&gt;=90,"Sangat Baik",IF(E63&gt;=80,"Baik",IF(E63&gt;=70,"Cukup",IF(E63&gt;=60,"Kurang","Perlu Pembinaan"))))</f>
        <v>Perlu Pembinaan</v>
      </c>
      <c r="G63" s="3">
        <f>IF(E63&gt;=90,100%,IF(E63&gt;=80,90%,IF(E63&gt;=70,80%,IF(E63&gt;=60,70%,IF(E63&gt;=50,60%,IF(E63&gt;=40,50%,IF(E63&gt;=30,40%,30%)))))))</f>
        <v>0.3</v>
      </c>
      <c r="H63" s="4">
        <v>200000</v>
      </c>
      <c r="I63" s="4">
        <f>H63*G63</f>
        <v>60000</v>
      </c>
      <c r="J63" s="4">
        <v>0</v>
      </c>
      <c r="K63" s="4">
        <v>0</v>
      </c>
      <c r="L63" s="4">
        <v>0</v>
      </c>
      <c r="M63" s="4">
        <v>0</v>
      </c>
      <c r="N63" s="4">
        <f>SUM(I63:M63)</f>
        <v>60000</v>
      </c>
    </row>
    <row r="64" spans="1:14">
      <c r="A64" s="5">
        <v>59</v>
      </c>
      <c r="B64" s="3" t="s">
        <v>75</v>
      </c>
      <c r="C64" s="3">
        <v>0</v>
      </c>
      <c r="D64" s="3">
        <v>0</v>
      </c>
      <c r="E64" s="3">
        <f>AVERAGE(C64:D64)</f>
        <v>0</v>
      </c>
      <c r="F64" s="3" t="str">
        <f>IF(E64&gt;=90,"Sangat Baik",IF(E64&gt;=80,"Baik",IF(E64&gt;=70,"Cukup",IF(E64&gt;=60,"Kurang","Perlu Pembinaan"))))</f>
        <v>Perlu Pembinaan</v>
      </c>
      <c r="G64" s="3">
        <f>IF(E64&gt;=90,100%,IF(E64&gt;=80,90%,IF(E64&gt;=70,80%,IF(E64&gt;=60,70%,IF(E64&gt;=50,60%,IF(E64&gt;=40,50%,IF(E64&gt;=30,40%,30%)))))))</f>
        <v>0.3</v>
      </c>
      <c r="H64" s="4">
        <v>200000</v>
      </c>
      <c r="I64" s="4">
        <f>H64*G64</f>
        <v>60000</v>
      </c>
      <c r="J64" s="4">
        <v>0</v>
      </c>
      <c r="K64" s="4">
        <v>0</v>
      </c>
      <c r="L64" s="4">
        <v>0</v>
      </c>
      <c r="M64" s="4">
        <v>0</v>
      </c>
      <c r="N64" s="4">
        <f>SUM(I64:M64)</f>
        <v>60000</v>
      </c>
    </row>
    <row r="65" spans="1:14">
      <c r="A65" s="5">
        <v>60</v>
      </c>
      <c r="B65" s="3" t="s">
        <v>76</v>
      </c>
      <c r="C65" s="3">
        <v>0</v>
      </c>
      <c r="D65" s="3">
        <v>0</v>
      </c>
      <c r="E65" s="3">
        <f>AVERAGE(C65:D65)</f>
        <v>0</v>
      </c>
      <c r="F65" s="3" t="str">
        <f>IF(E65&gt;=90,"Sangat Baik",IF(E65&gt;=80,"Baik",IF(E65&gt;=70,"Cukup",IF(E65&gt;=60,"Kurang","Perlu Pembinaan"))))</f>
        <v>Perlu Pembinaan</v>
      </c>
      <c r="G65" s="3">
        <f>IF(E65&gt;=90,100%,IF(E65&gt;=80,90%,IF(E65&gt;=70,80%,IF(E65&gt;=60,70%,IF(E65&gt;=50,60%,IF(E65&gt;=40,50%,IF(E65&gt;=30,40%,30%)))))))</f>
        <v>0.3</v>
      </c>
      <c r="H65" s="4">
        <v>200000</v>
      </c>
      <c r="I65" s="4">
        <f>H65*G65</f>
        <v>60000</v>
      </c>
      <c r="J65" s="4">
        <v>0</v>
      </c>
      <c r="K65" s="4">
        <v>0</v>
      </c>
      <c r="L65" s="4">
        <v>0</v>
      </c>
      <c r="M65" s="4">
        <v>0</v>
      </c>
      <c r="N65" s="4">
        <f>SUM(I65:M65)</f>
        <v>60000</v>
      </c>
    </row>
    <row r="66" spans="1:14">
      <c r="A66" s="5">
        <v>61</v>
      </c>
      <c r="B66" s="3" t="s">
        <v>77</v>
      </c>
      <c r="C66" s="3">
        <v>0</v>
      </c>
      <c r="D66" s="3">
        <v>0</v>
      </c>
      <c r="E66" s="3">
        <f>AVERAGE(C66:D66)</f>
        <v>0</v>
      </c>
      <c r="F66" s="3" t="str">
        <f>IF(E66&gt;=90,"Sangat Baik",IF(E66&gt;=80,"Baik",IF(E66&gt;=70,"Cukup",IF(E66&gt;=60,"Kurang","Perlu Pembinaan"))))</f>
        <v>Perlu Pembinaan</v>
      </c>
      <c r="G66" s="3">
        <f>IF(E66&gt;=90,100%,IF(E66&gt;=80,90%,IF(E66&gt;=70,80%,IF(E66&gt;=60,70%,IF(E66&gt;=50,60%,IF(E66&gt;=40,50%,IF(E66&gt;=30,40%,30%)))))))</f>
        <v>0.3</v>
      </c>
      <c r="H66" s="4">
        <v>200000</v>
      </c>
      <c r="I66" s="4">
        <f>H66*G66</f>
        <v>60000</v>
      </c>
      <c r="J66" s="4">
        <v>0</v>
      </c>
      <c r="K66" s="4">
        <v>0</v>
      </c>
      <c r="L66" s="4">
        <v>0</v>
      </c>
      <c r="M66" s="4">
        <v>0</v>
      </c>
      <c r="N66" s="4">
        <f>SUM(I66:M66)</f>
        <v>60000</v>
      </c>
    </row>
    <row r="67" spans="1:14">
      <c r="A67" s="5">
        <v>62</v>
      </c>
      <c r="B67" s="3" t="s">
        <v>78</v>
      </c>
      <c r="C67" s="3">
        <v>0</v>
      </c>
      <c r="D67" s="3">
        <v>0</v>
      </c>
      <c r="E67" s="3">
        <f>AVERAGE(C67:D67)</f>
        <v>0</v>
      </c>
      <c r="F67" s="3" t="str">
        <f>IF(E67&gt;=90,"Sangat Baik",IF(E67&gt;=80,"Baik",IF(E67&gt;=70,"Cukup",IF(E67&gt;=60,"Kurang","Perlu Pembinaan"))))</f>
        <v>Perlu Pembinaan</v>
      </c>
      <c r="G67" s="3">
        <f>IF(E67&gt;=90,100%,IF(E67&gt;=80,90%,IF(E67&gt;=70,80%,IF(E67&gt;=60,70%,IF(E67&gt;=50,60%,IF(E67&gt;=40,50%,IF(E67&gt;=30,40%,30%)))))))</f>
        <v>0.3</v>
      </c>
      <c r="H67" s="4">
        <v>200000</v>
      </c>
      <c r="I67" s="4">
        <f>H67*G67</f>
        <v>60000</v>
      </c>
      <c r="J67" s="4">
        <v>0</v>
      </c>
      <c r="K67" s="4">
        <v>0</v>
      </c>
      <c r="L67" s="4">
        <v>0</v>
      </c>
      <c r="M67" s="4">
        <v>0</v>
      </c>
      <c r="N67" s="4">
        <f>SUM(I67:M67)</f>
        <v>60000</v>
      </c>
    </row>
    <row r="68" spans="1:14">
      <c r="A68" s="5">
        <v>63</v>
      </c>
      <c r="B68" s="3" t="s">
        <v>79</v>
      </c>
      <c r="C68" s="3">
        <v>0</v>
      </c>
      <c r="D68" s="3">
        <v>0</v>
      </c>
      <c r="E68" s="3">
        <f>AVERAGE(C68:D68)</f>
        <v>0</v>
      </c>
      <c r="F68" s="3" t="str">
        <f>IF(E68&gt;=90,"Sangat Baik",IF(E68&gt;=80,"Baik",IF(E68&gt;=70,"Cukup",IF(E68&gt;=60,"Kurang","Perlu Pembinaan"))))</f>
        <v>Perlu Pembinaan</v>
      </c>
      <c r="G68" s="3">
        <f>IF(E68&gt;=90,100%,IF(E68&gt;=80,90%,IF(E68&gt;=70,80%,IF(E68&gt;=60,70%,IF(E68&gt;=50,60%,IF(E68&gt;=40,50%,IF(E68&gt;=30,40%,30%)))))))</f>
        <v>0.3</v>
      </c>
      <c r="H68" s="4">
        <v>200000</v>
      </c>
      <c r="I68" s="4">
        <f>H68*G68</f>
        <v>60000</v>
      </c>
      <c r="J68" s="4">
        <v>0</v>
      </c>
      <c r="K68" s="4">
        <v>0</v>
      </c>
      <c r="L68" s="4">
        <v>0</v>
      </c>
      <c r="M68" s="4">
        <v>0</v>
      </c>
      <c r="N68" s="4">
        <f>SUM(I68:M68)</f>
        <v>60000</v>
      </c>
    </row>
  </sheetData>
  <mergeCells>
    <mergeCell ref="A1:N1"/>
    <mergeCell ref="A2:N2"/>
    <mergeCell ref="A3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2026-10-01T00:31:21+00:00</dcterms:created>
  <dcterms:modified xsi:type="dcterms:W3CDTF">2026-10-01T00:31:21+00:00</dcterms:modified>
  <dc:title>Untitled Spreadsheet</dc:title>
  <dc:description/>
  <dc:subject/>
  <cp:keywords/>
  <cp:category/>
</cp:coreProperties>
</file>