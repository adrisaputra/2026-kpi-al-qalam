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<sst xmlns="http://schemas.openxmlformats.org/spreadsheetml/2006/main" uniqueCount="87">
  <si>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REKAP BULANAN PENILAIAN KPI YAYASAN PENDIDIKAN ALQALAM KENDARI</t>
  </si>
  <si>
    <t>SDIT</t>
  </si>
  <si>
    <t>TAHUN 2026</t>
  </si>
  <si>
    <t>No</t>
  </si>
  <si>
    <t>Nama</t>
  </si>
  <si>
    <t>Rapor</t>
  </si>
  <si>
    <t>KPI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</si>
  <si>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</si>
  <si>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</si>
  <si>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</si>
  <si>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</si>
  <si>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</si>
  <si>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</si>
  <si>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</si>
  <si>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</si>
  <si>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</si>
  <si>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</si>
  <si>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</si>
  <si>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</si>
  <si>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Rata-rata Tahunan</t>
  </si>
  <si>
    <t>Predikat</t>
  </si>
  <si>
    <t>Tukin</t>
  </si>
  <si>
    <t>Besaran Tukin</t>
  </si>
  <si>
    <t>Tukin Diterima</t>
  </si>
  <si>
    <t>Abd. Rajab, S.S., M.Sos.</t>
  </si>
  <si>
    <t>Adi Wahyudin, S.Mat.</t>
  </si>
  <si>
    <t>Al Aini Arifiani, S.Pd.</t>
  </si>
  <si>
    <t>Alwi Israd E., S.Pd.</t>
  </si>
  <si>
    <t>Andi Andhys Chaniago, S.Pd.</t>
  </si>
  <si>
    <t>Andi Ikwal, S.Pd.</t>
  </si>
  <si>
    <t>Anita Arifin, S.Pd.</t>
  </si>
  <si>
    <t>Aprilita, A.Md.</t>
  </si>
  <si>
    <t>Asgar Binur, S.Pd.</t>
  </si>
  <si>
    <t>Darmila, S.Pd.</t>
  </si>
  <si>
    <t>Dina Novalion Dini, S.Pd.</t>
  </si>
  <si>
    <t>Dona Saila, S.Pd.</t>
  </si>
  <si>
    <t>Ellen Efriana, S.Pd.</t>
  </si>
  <si>
    <t>Endang Yugaswara, S.Pd.</t>
  </si>
  <si>
    <t>Evalina, S.Pd</t>
  </si>
  <si>
    <t>Fiki Aksari, S.Pd.</t>
  </si>
  <si>
    <t>Fitri Sauki, S.Pd.</t>
  </si>
  <si>
    <t>Haiton, S.Pd., M.Pd.</t>
  </si>
  <si>
    <t>Hajriah, S.S.</t>
  </si>
  <si>
    <t>Hasmita Sari, S.Pd</t>
  </si>
  <si>
    <t>Hasriani, S.Pd.</t>
  </si>
  <si>
    <t>Hawaera, S.Pd.</t>
  </si>
  <si>
    <t>Helmi Marinti, S.Pd.</t>
  </si>
  <si>
    <t>Herfina, S.Pd.</t>
  </si>
  <si>
    <t>Herlin, S.Pd.</t>
  </si>
  <si>
    <t>Hermawati, S.Pd.</t>
  </si>
  <si>
    <t>Ibro Sutyono, S.Pd.</t>
  </si>
  <si>
    <t>Jumaidin, S.Pd.I.</t>
  </si>
  <si>
    <t>Jumaini, S.Pd.</t>
  </si>
  <si>
    <t>Jumania, S.Pd.</t>
  </si>
  <si>
    <t>Jumbrawati, S.Pd.</t>
  </si>
  <si>
    <t>Khaira, S.Pd.</t>
  </si>
  <si>
    <t>La Ode Hendra Hayat Saputra, S.Pd.</t>
  </si>
  <si>
    <t>La Saruddin, S. Pd.</t>
  </si>
  <si>
    <t>Ld. Gusman, S.Pd.</t>
  </si>
  <si>
    <t>Marianti, S.Pd.</t>
  </si>
  <si>
    <t>Monica Firman, S.Pd.</t>
  </si>
  <si>
    <t>Muh Amin, S.Pd.</t>
  </si>
  <si>
    <t>Muhammad Amin Saleh Al Habsy, S.Ag.</t>
  </si>
  <si>
    <t>Muhammad Farhan Akil Bahri, S.Pd.</t>
  </si>
  <si>
    <t>Muhammad Rezki Wahyudi, S.Pd.</t>
  </si>
  <si>
    <t>Najikhatun Nasriyah., S.Hum.</t>
  </si>
  <si>
    <t>Nirda, S.Pd.</t>
  </si>
  <si>
    <t>Nur Hidayah, S.Pd</t>
  </si>
  <si>
    <t>Rabasiah, S.Pd.I.</t>
  </si>
  <si>
    <t>Rama Widi Kwartananda Adris, S.Pd.</t>
  </si>
  <si>
    <t>Ramlia, S.Pd.I.</t>
  </si>
  <si>
    <t>Randita Cahyani Hamlin, S.Pd.</t>
  </si>
  <si>
    <t>Riska Sangfitri, S.Pd.</t>
  </si>
  <si>
    <t>Siti Juariah, S.Pd.</t>
  </si>
  <si>
    <t>Siti Mahmudah, S.Pd.I.</t>
  </si>
  <si>
    <t>Siti Sarah Rahmaini, S.Ag</t>
  </si>
  <si>
    <t>Sri Debi, S.Pd.</t>
  </si>
  <si>
    <t>Susi Israwati, S.Pd., M.Pd.</t>
  </si>
  <si>
    <t>Susmi, S.Pd.</t>
  </si>
  <si>
    <t>Tri Kurnia Lestari, S.Pd.</t>
  </si>
  <si>
    <t>Ulkhasanah Hidayah Sukni, S.Pd.</t>
  </si>
  <si>
    <t>Wa Ode Kamanianti, S.Pd.</t>
  </si>
  <si>
    <t>Wa Ode Nur Hikma, S.Pd.</t>
  </si>
  <si>
    <t>Wa Ode Yuyun Mbona, S.Pd.</t>
  </si>
  <si>
    <t>Wiwin Winarti, S.Pd.</t>
  </si>
  <si>
    <t>Yono, S.Pd.I., M.Pd.I</t>
  </si>
  <si>
    <t>Yuyun Israwati, S.Pd.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</si>
</sst>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3" fillId="0" borderId="1" applyFont="0" applyNumberFormat="1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3" fillId="0" borderId="1" applyFont="0" applyNumberFormat="1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U68"/>
  <sheetViews>
    <sheetView tabSelected="1" workbookViewId="0" showGridLines="true" showRowColHeaders="1">
      <selection activeCell="U5" sqref="U5:U68"/>
    </sheetView>
  </sheetViews>
  <sheetFormatPr defaultRowHeight="14.4" outlineLevelRow="0" outlineLevelCol="0"/>
  <cols>
    <col min="1" max="1" width="5" customWidth="true" style="0"/>
    <col min="2" max="2" width="40" customWidth="true" style="0"/>
    <col min="3" max="3" width="8" customWidth="true" style="0"/>
    <col min="4" max="4" width="8" customWidth="true" style="0"/>
    <col min="5" max="5" width="8" customWidth="true" style="0"/>
    <col min="6" max="6" width="8" customWidth="true" style="0"/>
    <col min="7" max="7" width="8" customWidth="true" style="0"/>
    <col min="8" max="8" width="8" customWidth="true" style="0"/>
    <col min="9" max="9" width="8" customWidth="true" style="0"/>
    <col min="10" max="10" width="8" customWidth="true" style="0"/>
    <col min="11" max="11" width="8" customWidth="true" style="0"/>
    <col min="12" max="12" width="8" customWidth="true" style="0"/>
    <col min="13" max="13" width="8" customWidth="true" style="0"/>
    <col min="14" max="14" width="8" customWidth="true" style="0"/>
    <col min="15" max="15" width="8" customWidth="true" style="0"/>
    <col min="16" max="16" width="8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</cols>
  <sheetData>
    <row r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5" spans="1:2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</row>
    <row r="6" spans="1:21">
      <c r="A6" s="5">
        <v>1</v>
      </c>
      <c r="B6" s="3" t="s">
        <v>24</v>
      </c>
      <c r="C6" s="3">
        <v>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 t="e">
        <f>AVERAGE(E6:P6)</f>
        <v>#DIV/0!</v>
      </c>
      <c r="R6" s="3" t="e">
        <f>IF(Q6&gt;=90,"Sangat Baik",IF(Q6&gt;=80,"Baik",IF(Q6&gt;=70,"Cukup",IF(Q6&gt;=60,"Kurang","Perlu Pembinaan"))))</f>
        <v>#DIV/0!</v>
      </c>
      <c r="S6" s="3" t="e">
        <f>IF(Q6&gt;=90,100%,IF(Q6&gt;=80,90%,IF(Q6&gt;=70,80%,IF(Q6&gt;=60,70%,IF(Q6&gt;=50,60%,IF(Q6&gt;=40,50%,IF(Q6&gt;=30,40%,30%)))))))</f>
        <v>#DIV/0!</v>
      </c>
      <c r="T6" s="4">
        <v>200000</v>
      </c>
      <c r="U6" s="6" t="e">
        <f>T6*S6</f>
        <v>#DIV/0!</v>
      </c>
    </row>
    <row r="7" spans="1:21">
      <c r="A7" s="5">
        <v>2</v>
      </c>
      <c r="B7" s="3" t="s">
        <v>25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 t="e">
        <f>AVERAGE(E7:P7)</f>
        <v>#DIV/0!</v>
      </c>
      <c r="R7" s="3" t="e">
        <f>IF(Q7&gt;=90,"Sangat Baik",IF(Q7&gt;=80,"Baik",IF(Q7&gt;=70,"Cukup",IF(Q7&gt;=60,"Kurang","Perlu Pembinaan"))))</f>
        <v>#DIV/0!</v>
      </c>
      <c r="S7" s="3" t="e">
        <f>IF(Q7&gt;=90,100%,IF(Q7&gt;=80,90%,IF(Q7&gt;=70,80%,IF(Q7&gt;=60,70%,IF(Q7&gt;=50,60%,IF(Q7&gt;=40,50%,IF(Q7&gt;=30,40%,30%)))))))</f>
        <v>#DIV/0!</v>
      </c>
      <c r="T7" s="4">
        <v>200000</v>
      </c>
      <c r="U7" s="6" t="e">
        <f>T7*S7</f>
        <v>#DIV/0!</v>
      </c>
    </row>
    <row r="8" spans="1:21">
      <c r="A8" s="5">
        <v>3</v>
      </c>
      <c r="B8" s="3" t="s">
        <v>26</v>
      </c>
      <c r="C8" s="3">
        <v>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 t="e">
        <f>AVERAGE(E8:P8)</f>
        <v>#DIV/0!</v>
      </c>
      <c r="R8" s="3" t="e">
        <f>IF(Q8&gt;=90,"Sangat Baik",IF(Q8&gt;=80,"Baik",IF(Q8&gt;=70,"Cukup",IF(Q8&gt;=60,"Kurang","Perlu Pembinaan"))))</f>
        <v>#DIV/0!</v>
      </c>
      <c r="S8" s="3" t="e">
        <f>IF(Q8&gt;=90,100%,IF(Q8&gt;=80,90%,IF(Q8&gt;=70,80%,IF(Q8&gt;=60,70%,IF(Q8&gt;=50,60%,IF(Q8&gt;=40,50%,IF(Q8&gt;=30,40%,30%)))))))</f>
        <v>#DIV/0!</v>
      </c>
      <c r="T8" s="4">
        <v>200000</v>
      </c>
      <c r="U8" s="6" t="e">
        <f>T8*S8</f>
        <v>#DIV/0!</v>
      </c>
    </row>
    <row r="9" spans="1:21">
      <c r="A9" s="5">
        <v>4</v>
      </c>
      <c r="B9" s="3" t="s">
        <v>27</v>
      </c>
      <c r="C9" s="3">
        <v>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 t="e">
        <f>AVERAGE(E9:P9)</f>
        <v>#DIV/0!</v>
      </c>
      <c r="R9" s="3" t="e">
        <f>IF(Q9&gt;=90,"Sangat Baik",IF(Q9&gt;=80,"Baik",IF(Q9&gt;=70,"Cukup",IF(Q9&gt;=60,"Kurang","Perlu Pembinaan"))))</f>
        <v>#DIV/0!</v>
      </c>
      <c r="S9" s="3" t="e">
        <f>IF(Q9&gt;=90,100%,IF(Q9&gt;=80,90%,IF(Q9&gt;=70,80%,IF(Q9&gt;=60,70%,IF(Q9&gt;=50,60%,IF(Q9&gt;=40,50%,IF(Q9&gt;=30,40%,30%)))))))</f>
        <v>#DIV/0!</v>
      </c>
      <c r="T9" s="4">
        <v>200000</v>
      </c>
      <c r="U9" s="6" t="e">
        <f>T9*S9</f>
        <v>#DIV/0!</v>
      </c>
    </row>
    <row r="10" spans="1:21">
      <c r="A10" s="5">
        <v>5</v>
      </c>
      <c r="B10" s="3" t="s">
        <v>28</v>
      </c>
      <c r="C10" s="3">
        <v>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 t="e">
        <f>AVERAGE(E10:P10)</f>
        <v>#DIV/0!</v>
      </c>
      <c r="R10" s="3" t="e">
        <f>IF(Q10&gt;=90,"Sangat Baik",IF(Q10&gt;=80,"Baik",IF(Q10&gt;=70,"Cukup",IF(Q10&gt;=60,"Kurang","Perlu Pembinaan"))))</f>
        <v>#DIV/0!</v>
      </c>
      <c r="S10" s="3" t="e">
        <f>IF(Q10&gt;=90,100%,IF(Q10&gt;=80,90%,IF(Q10&gt;=70,80%,IF(Q10&gt;=60,70%,IF(Q10&gt;=50,60%,IF(Q10&gt;=40,50%,IF(Q10&gt;=30,40%,30%)))))))</f>
        <v>#DIV/0!</v>
      </c>
      <c r="T10" s="4">
        <v>200000</v>
      </c>
      <c r="U10" s="6" t="e">
        <f>T10*S10</f>
        <v>#DIV/0!</v>
      </c>
    </row>
    <row r="11" spans="1:21">
      <c r="A11" s="5">
        <v>6</v>
      </c>
      <c r="B11" s="3" t="s">
        <v>29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 t="e">
        <f>AVERAGE(E11:P11)</f>
        <v>#DIV/0!</v>
      </c>
      <c r="R11" s="3" t="e">
        <f>IF(Q11&gt;=90,"Sangat Baik",IF(Q11&gt;=80,"Baik",IF(Q11&gt;=70,"Cukup",IF(Q11&gt;=60,"Kurang","Perlu Pembinaan"))))</f>
        <v>#DIV/0!</v>
      </c>
      <c r="S11" s="3" t="e">
        <f>IF(Q11&gt;=90,100%,IF(Q11&gt;=80,90%,IF(Q11&gt;=70,80%,IF(Q11&gt;=60,70%,IF(Q11&gt;=50,60%,IF(Q11&gt;=40,50%,IF(Q11&gt;=30,40%,30%)))))))</f>
        <v>#DIV/0!</v>
      </c>
      <c r="T11" s="4">
        <v>200000</v>
      </c>
      <c r="U11" s="6" t="e">
        <f>T11*S11</f>
        <v>#DIV/0!</v>
      </c>
    </row>
    <row r="12" spans="1:21">
      <c r="A12" s="5">
        <v>7</v>
      </c>
      <c r="B12" s="3" t="s">
        <v>30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 t="e">
        <f>AVERAGE(E12:P12)</f>
        <v>#DIV/0!</v>
      </c>
      <c r="R12" s="3" t="e">
        <f>IF(Q12&gt;=90,"Sangat Baik",IF(Q12&gt;=80,"Baik",IF(Q12&gt;=70,"Cukup",IF(Q12&gt;=60,"Kurang","Perlu Pembinaan"))))</f>
        <v>#DIV/0!</v>
      </c>
      <c r="S12" s="3" t="e">
        <f>IF(Q12&gt;=90,100%,IF(Q12&gt;=80,90%,IF(Q12&gt;=70,80%,IF(Q12&gt;=60,70%,IF(Q12&gt;=50,60%,IF(Q12&gt;=40,50%,IF(Q12&gt;=30,40%,30%)))))))</f>
        <v>#DIV/0!</v>
      </c>
      <c r="T12" s="4">
        <v>200000</v>
      </c>
      <c r="U12" s="6" t="e">
        <f>T12*S12</f>
        <v>#DIV/0!</v>
      </c>
    </row>
    <row r="13" spans="1:21">
      <c r="A13" s="5">
        <v>8</v>
      </c>
      <c r="B13" s="3" t="s">
        <v>31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 t="e">
        <f>AVERAGE(E13:P13)</f>
        <v>#DIV/0!</v>
      </c>
      <c r="R13" s="3" t="e">
        <f>IF(Q13&gt;=90,"Sangat Baik",IF(Q13&gt;=80,"Baik",IF(Q13&gt;=70,"Cukup",IF(Q13&gt;=60,"Kurang","Perlu Pembinaan"))))</f>
        <v>#DIV/0!</v>
      </c>
      <c r="S13" s="3" t="e">
        <f>IF(Q13&gt;=90,100%,IF(Q13&gt;=80,90%,IF(Q13&gt;=70,80%,IF(Q13&gt;=60,70%,IF(Q13&gt;=50,60%,IF(Q13&gt;=40,50%,IF(Q13&gt;=30,40%,30%)))))))</f>
        <v>#DIV/0!</v>
      </c>
      <c r="T13" s="4">
        <v>200000</v>
      </c>
      <c r="U13" s="6" t="e">
        <f>T13*S13</f>
        <v>#DIV/0!</v>
      </c>
    </row>
    <row r="14" spans="1:21">
      <c r="A14" s="5">
        <v>9</v>
      </c>
      <c r="B14" s="3" t="s">
        <v>32</v>
      </c>
      <c r="C14" s="3">
        <v>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 t="e">
        <f>AVERAGE(E14:P14)</f>
        <v>#DIV/0!</v>
      </c>
      <c r="R14" s="3" t="e">
        <f>IF(Q14&gt;=90,"Sangat Baik",IF(Q14&gt;=80,"Baik",IF(Q14&gt;=70,"Cukup",IF(Q14&gt;=60,"Kurang","Perlu Pembinaan"))))</f>
        <v>#DIV/0!</v>
      </c>
      <c r="S14" s="3" t="e">
        <f>IF(Q14&gt;=90,100%,IF(Q14&gt;=80,90%,IF(Q14&gt;=70,80%,IF(Q14&gt;=60,70%,IF(Q14&gt;=50,60%,IF(Q14&gt;=40,50%,IF(Q14&gt;=30,40%,30%)))))))</f>
        <v>#DIV/0!</v>
      </c>
      <c r="T14" s="4">
        <v>200000</v>
      </c>
      <c r="U14" s="6" t="e">
        <f>T14*S14</f>
        <v>#DIV/0!</v>
      </c>
    </row>
    <row r="15" spans="1:21">
      <c r="A15" s="5">
        <v>10</v>
      </c>
      <c r="B15" s="3" t="s">
        <v>33</v>
      </c>
      <c r="C15" s="3">
        <v>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 t="e">
        <f>AVERAGE(E15:P15)</f>
        <v>#DIV/0!</v>
      </c>
      <c r="R15" s="3" t="e">
        <f>IF(Q15&gt;=90,"Sangat Baik",IF(Q15&gt;=80,"Baik",IF(Q15&gt;=70,"Cukup",IF(Q15&gt;=60,"Kurang","Perlu Pembinaan"))))</f>
        <v>#DIV/0!</v>
      </c>
      <c r="S15" s="3" t="e">
        <f>IF(Q15&gt;=90,100%,IF(Q15&gt;=80,90%,IF(Q15&gt;=70,80%,IF(Q15&gt;=60,70%,IF(Q15&gt;=50,60%,IF(Q15&gt;=40,50%,IF(Q15&gt;=30,40%,30%)))))))</f>
        <v>#DIV/0!</v>
      </c>
      <c r="T15" s="4">
        <v>200000</v>
      </c>
      <c r="U15" s="6" t="e">
        <f>T15*S15</f>
        <v>#DIV/0!</v>
      </c>
    </row>
    <row r="16" spans="1:21">
      <c r="A16" s="5">
        <v>11</v>
      </c>
      <c r="B16" s="3" t="s">
        <v>34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 t="e">
        <f>AVERAGE(E16:P16)</f>
        <v>#DIV/0!</v>
      </c>
      <c r="R16" s="3" t="e">
        <f>IF(Q16&gt;=90,"Sangat Baik",IF(Q16&gt;=80,"Baik",IF(Q16&gt;=70,"Cukup",IF(Q16&gt;=60,"Kurang","Perlu Pembinaan"))))</f>
        <v>#DIV/0!</v>
      </c>
      <c r="S16" s="3" t="e">
        <f>IF(Q16&gt;=90,100%,IF(Q16&gt;=80,90%,IF(Q16&gt;=70,80%,IF(Q16&gt;=60,70%,IF(Q16&gt;=50,60%,IF(Q16&gt;=40,50%,IF(Q16&gt;=30,40%,30%)))))))</f>
        <v>#DIV/0!</v>
      </c>
      <c r="T16" s="4">
        <v>200000</v>
      </c>
      <c r="U16" s="6" t="e">
        <f>T16*S16</f>
        <v>#DIV/0!</v>
      </c>
    </row>
    <row r="17" spans="1:21">
      <c r="A17" s="5">
        <v>12</v>
      </c>
      <c r="B17" s="3" t="s">
        <v>35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 t="e">
        <f>AVERAGE(E17:P17)</f>
        <v>#DIV/0!</v>
      </c>
      <c r="R17" s="3" t="e">
        <f>IF(Q17&gt;=90,"Sangat Baik",IF(Q17&gt;=80,"Baik",IF(Q17&gt;=70,"Cukup",IF(Q17&gt;=60,"Kurang","Perlu Pembinaan"))))</f>
        <v>#DIV/0!</v>
      </c>
      <c r="S17" s="3" t="e">
        <f>IF(Q17&gt;=90,100%,IF(Q17&gt;=80,90%,IF(Q17&gt;=70,80%,IF(Q17&gt;=60,70%,IF(Q17&gt;=50,60%,IF(Q17&gt;=40,50%,IF(Q17&gt;=30,40%,30%)))))))</f>
        <v>#DIV/0!</v>
      </c>
      <c r="T17" s="4">
        <v>200000</v>
      </c>
      <c r="U17" s="6" t="e">
        <f>T17*S17</f>
        <v>#DIV/0!</v>
      </c>
    </row>
    <row r="18" spans="1:21">
      <c r="A18" s="5">
        <v>13</v>
      </c>
      <c r="B18" s="3" t="s">
        <v>36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 t="e">
        <f>AVERAGE(E18:P18)</f>
        <v>#DIV/0!</v>
      </c>
      <c r="R18" s="3" t="e">
        <f>IF(Q18&gt;=90,"Sangat Baik",IF(Q18&gt;=80,"Baik",IF(Q18&gt;=70,"Cukup",IF(Q18&gt;=60,"Kurang","Perlu Pembinaan"))))</f>
        <v>#DIV/0!</v>
      </c>
      <c r="S18" s="3" t="e">
        <f>IF(Q18&gt;=90,100%,IF(Q18&gt;=80,90%,IF(Q18&gt;=70,80%,IF(Q18&gt;=60,70%,IF(Q18&gt;=50,60%,IF(Q18&gt;=40,50%,IF(Q18&gt;=30,40%,30%)))))))</f>
        <v>#DIV/0!</v>
      </c>
      <c r="T18" s="4">
        <v>200000</v>
      </c>
      <c r="U18" s="6" t="e">
        <f>T18*S18</f>
        <v>#DIV/0!</v>
      </c>
    </row>
    <row r="19" spans="1:21">
      <c r="A19" s="5">
        <v>14</v>
      </c>
      <c r="B19" s="3" t="s">
        <v>37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 t="e">
        <f>AVERAGE(E19:P19)</f>
        <v>#DIV/0!</v>
      </c>
      <c r="R19" s="3" t="e">
        <f>IF(Q19&gt;=90,"Sangat Baik",IF(Q19&gt;=80,"Baik",IF(Q19&gt;=70,"Cukup",IF(Q19&gt;=60,"Kurang","Perlu Pembinaan"))))</f>
        <v>#DIV/0!</v>
      </c>
      <c r="S19" s="3" t="e">
        <f>IF(Q19&gt;=90,100%,IF(Q19&gt;=80,90%,IF(Q19&gt;=70,80%,IF(Q19&gt;=60,70%,IF(Q19&gt;=50,60%,IF(Q19&gt;=40,50%,IF(Q19&gt;=30,40%,30%)))))))</f>
        <v>#DIV/0!</v>
      </c>
      <c r="T19" s="4">
        <v>200000</v>
      </c>
      <c r="U19" s="6" t="e">
        <f>T19*S19</f>
        <v>#DIV/0!</v>
      </c>
    </row>
    <row r="20" spans="1:21">
      <c r="A20" s="5">
        <v>15</v>
      </c>
      <c r="B20" s="3" t="s">
        <v>38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 t="e">
        <f>AVERAGE(E20:P20)</f>
        <v>#DIV/0!</v>
      </c>
      <c r="R20" s="3" t="e">
        <f>IF(Q20&gt;=90,"Sangat Baik",IF(Q20&gt;=80,"Baik",IF(Q20&gt;=70,"Cukup",IF(Q20&gt;=60,"Kurang","Perlu Pembinaan"))))</f>
        <v>#DIV/0!</v>
      </c>
      <c r="S20" s="3" t="e">
        <f>IF(Q20&gt;=90,100%,IF(Q20&gt;=80,90%,IF(Q20&gt;=70,80%,IF(Q20&gt;=60,70%,IF(Q20&gt;=50,60%,IF(Q20&gt;=40,50%,IF(Q20&gt;=30,40%,30%)))))))</f>
        <v>#DIV/0!</v>
      </c>
      <c r="T20" s="4">
        <v>200000</v>
      </c>
      <c r="U20" s="6" t="e">
        <f>T20*S20</f>
        <v>#DIV/0!</v>
      </c>
    </row>
    <row r="21" spans="1:21">
      <c r="A21" s="5">
        <v>16</v>
      </c>
      <c r="B21" s="3" t="s">
        <v>39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 t="e">
        <f>AVERAGE(E21:P21)</f>
        <v>#DIV/0!</v>
      </c>
      <c r="R21" s="3" t="e">
        <f>IF(Q21&gt;=90,"Sangat Baik",IF(Q21&gt;=80,"Baik",IF(Q21&gt;=70,"Cukup",IF(Q21&gt;=60,"Kurang","Perlu Pembinaan"))))</f>
        <v>#DIV/0!</v>
      </c>
      <c r="S21" s="3" t="e">
        <f>IF(Q21&gt;=90,100%,IF(Q21&gt;=80,90%,IF(Q21&gt;=70,80%,IF(Q21&gt;=60,70%,IF(Q21&gt;=50,60%,IF(Q21&gt;=40,50%,IF(Q21&gt;=30,40%,30%)))))))</f>
        <v>#DIV/0!</v>
      </c>
      <c r="T21" s="4">
        <v>200000</v>
      </c>
      <c r="U21" s="6" t="e">
        <f>T21*S21</f>
        <v>#DIV/0!</v>
      </c>
    </row>
    <row r="22" spans="1:21">
      <c r="A22" s="5">
        <v>17</v>
      </c>
      <c r="B22" s="3" t="s">
        <v>40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 t="e">
        <f>AVERAGE(E22:P22)</f>
        <v>#DIV/0!</v>
      </c>
      <c r="R22" s="3" t="e">
        <f>IF(Q22&gt;=90,"Sangat Baik",IF(Q22&gt;=80,"Baik",IF(Q22&gt;=70,"Cukup",IF(Q22&gt;=60,"Kurang","Perlu Pembinaan"))))</f>
        <v>#DIV/0!</v>
      </c>
      <c r="S22" s="3" t="e">
        <f>IF(Q22&gt;=90,100%,IF(Q22&gt;=80,90%,IF(Q22&gt;=70,80%,IF(Q22&gt;=60,70%,IF(Q22&gt;=50,60%,IF(Q22&gt;=40,50%,IF(Q22&gt;=30,40%,30%)))))))</f>
        <v>#DIV/0!</v>
      </c>
      <c r="T22" s="4">
        <v>200000</v>
      </c>
      <c r="U22" s="6" t="e">
        <f>T22*S22</f>
        <v>#DIV/0!</v>
      </c>
    </row>
    <row r="23" spans="1:21">
      <c r="A23" s="5">
        <v>18</v>
      </c>
      <c r="B23" s="3" t="s">
        <v>41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 t="e">
        <f>AVERAGE(E23:P23)</f>
        <v>#DIV/0!</v>
      </c>
      <c r="R23" s="3" t="e">
        <f>IF(Q23&gt;=90,"Sangat Baik",IF(Q23&gt;=80,"Baik",IF(Q23&gt;=70,"Cukup",IF(Q23&gt;=60,"Kurang","Perlu Pembinaan"))))</f>
        <v>#DIV/0!</v>
      </c>
      <c r="S23" s="3" t="e">
        <f>IF(Q23&gt;=90,100%,IF(Q23&gt;=80,90%,IF(Q23&gt;=70,80%,IF(Q23&gt;=60,70%,IF(Q23&gt;=50,60%,IF(Q23&gt;=40,50%,IF(Q23&gt;=30,40%,30%)))))))</f>
        <v>#DIV/0!</v>
      </c>
      <c r="T23" s="4">
        <v>200000</v>
      </c>
      <c r="U23" s="6" t="e">
        <f>T23*S23</f>
        <v>#DIV/0!</v>
      </c>
    </row>
    <row r="24" spans="1:21">
      <c r="A24" s="5">
        <v>19</v>
      </c>
      <c r="B24" s="3" t="s">
        <v>42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 t="e">
        <f>AVERAGE(E24:P24)</f>
        <v>#DIV/0!</v>
      </c>
      <c r="R24" s="3" t="e">
        <f>IF(Q24&gt;=90,"Sangat Baik",IF(Q24&gt;=80,"Baik",IF(Q24&gt;=70,"Cukup",IF(Q24&gt;=60,"Kurang","Perlu Pembinaan"))))</f>
        <v>#DIV/0!</v>
      </c>
      <c r="S24" s="3" t="e">
        <f>IF(Q24&gt;=90,100%,IF(Q24&gt;=80,90%,IF(Q24&gt;=70,80%,IF(Q24&gt;=60,70%,IF(Q24&gt;=50,60%,IF(Q24&gt;=40,50%,IF(Q24&gt;=30,40%,30%)))))))</f>
        <v>#DIV/0!</v>
      </c>
      <c r="T24" s="4">
        <v>200000</v>
      </c>
      <c r="U24" s="6" t="e">
        <f>T24*S24</f>
        <v>#DIV/0!</v>
      </c>
    </row>
    <row r="25" spans="1:21">
      <c r="A25" s="5">
        <v>20</v>
      </c>
      <c r="B25" s="3" t="s">
        <v>43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 t="e">
        <f>AVERAGE(E25:P25)</f>
        <v>#DIV/0!</v>
      </c>
      <c r="R25" s="3" t="e">
        <f>IF(Q25&gt;=90,"Sangat Baik",IF(Q25&gt;=80,"Baik",IF(Q25&gt;=70,"Cukup",IF(Q25&gt;=60,"Kurang","Perlu Pembinaan"))))</f>
        <v>#DIV/0!</v>
      </c>
      <c r="S25" s="3" t="e">
        <f>IF(Q25&gt;=90,100%,IF(Q25&gt;=80,90%,IF(Q25&gt;=70,80%,IF(Q25&gt;=60,70%,IF(Q25&gt;=50,60%,IF(Q25&gt;=40,50%,IF(Q25&gt;=30,40%,30%)))))))</f>
        <v>#DIV/0!</v>
      </c>
      <c r="T25" s="4">
        <v>200000</v>
      </c>
      <c r="U25" s="6" t="e">
        <f>T25*S25</f>
        <v>#DIV/0!</v>
      </c>
    </row>
    <row r="26" spans="1:21">
      <c r="A26" s="5">
        <v>21</v>
      </c>
      <c r="B26" s="3" t="s">
        <v>44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 t="e">
        <f>AVERAGE(E26:P26)</f>
        <v>#DIV/0!</v>
      </c>
      <c r="R26" s="3" t="e">
        <f>IF(Q26&gt;=90,"Sangat Baik",IF(Q26&gt;=80,"Baik",IF(Q26&gt;=70,"Cukup",IF(Q26&gt;=60,"Kurang","Perlu Pembinaan"))))</f>
        <v>#DIV/0!</v>
      </c>
      <c r="S26" s="3" t="e">
        <f>IF(Q26&gt;=90,100%,IF(Q26&gt;=80,90%,IF(Q26&gt;=70,80%,IF(Q26&gt;=60,70%,IF(Q26&gt;=50,60%,IF(Q26&gt;=40,50%,IF(Q26&gt;=30,40%,30%)))))))</f>
        <v>#DIV/0!</v>
      </c>
      <c r="T26" s="4">
        <v>200000</v>
      </c>
      <c r="U26" s="6" t="e">
        <f>T26*S26</f>
        <v>#DIV/0!</v>
      </c>
    </row>
    <row r="27" spans="1:21">
      <c r="A27" s="5">
        <v>22</v>
      </c>
      <c r="B27" s="3" t="s">
        <v>45</v>
      </c>
      <c r="C27" s="3">
        <v>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 t="e">
        <f>AVERAGE(E27:P27)</f>
        <v>#DIV/0!</v>
      </c>
      <c r="R27" s="3" t="e">
        <f>IF(Q27&gt;=90,"Sangat Baik",IF(Q27&gt;=80,"Baik",IF(Q27&gt;=70,"Cukup",IF(Q27&gt;=60,"Kurang","Perlu Pembinaan"))))</f>
        <v>#DIV/0!</v>
      </c>
      <c r="S27" s="3" t="e">
        <f>IF(Q27&gt;=90,100%,IF(Q27&gt;=80,90%,IF(Q27&gt;=70,80%,IF(Q27&gt;=60,70%,IF(Q27&gt;=50,60%,IF(Q27&gt;=40,50%,IF(Q27&gt;=30,40%,30%)))))))</f>
        <v>#DIV/0!</v>
      </c>
      <c r="T27" s="4">
        <v>200000</v>
      </c>
      <c r="U27" s="6" t="e">
        <f>T27*S27</f>
        <v>#DIV/0!</v>
      </c>
    </row>
    <row r="28" spans="1:21">
      <c r="A28" s="5">
        <v>23</v>
      </c>
      <c r="B28" s="3" t="s">
        <v>46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 t="e">
        <f>AVERAGE(E28:P28)</f>
        <v>#DIV/0!</v>
      </c>
      <c r="R28" s="3" t="e">
        <f>IF(Q28&gt;=90,"Sangat Baik",IF(Q28&gt;=80,"Baik",IF(Q28&gt;=70,"Cukup",IF(Q28&gt;=60,"Kurang","Perlu Pembinaan"))))</f>
        <v>#DIV/0!</v>
      </c>
      <c r="S28" s="3" t="e">
        <f>IF(Q28&gt;=90,100%,IF(Q28&gt;=80,90%,IF(Q28&gt;=70,80%,IF(Q28&gt;=60,70%,IF(Q28&gt;=50,60%,IF(Q28&gt;=40,50%,IF(Q28&gt;=30,40%,30%)))))))</f>
        <v>#DIV/0!</v>
      </c>
      <c r="T28" s="4">
        <v>200000</v>
      </c>
      <c r="U28" s="6" t="e">
        <f>T28*S28</f>
        <v>#DIV/0!</v>
      </c>
    </row>
    <row r="29" spans="1:21">
      <c r="A29" s="5">
        <v>24</v>
      </c>
      <c r="B29" s="3" t="s">
        <v>47</v>
      </c>
      <c r="C29" s="3">
        <v>0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 t="e">
        <f>AVERAGE(E29:P29)</f>
        <v>#DIV/0!</v>
      </c>
      <c r="R29" s="3" t="e">
        <f>IF(Q29&gt;=90,"Sangat Baik",IF(Q29&gt;=80,"Baik",IF(Q29&gt;=70,"Cukup",IF(Q29&gt;=60,"Kurang","Perlu Pembinaan"))))</f>
        <v>#DIV/0!</v>
      </c>
      <c r="S29" s="3" t="e">
        <f>IF(Q29&gt;=90,100%,IF(Q29&gt;=80,90%,IF(Q29&gt;=70,80%,IF(Q29&gt;=60,70%,IF(Q29&gt;=50,60%,IF(Q29&gt;=40,50%,IF(Q29&gt;=30,40%,30%)))))))</f>
        <v>#DIV/0!</v>
      </c>
      <c r="T29" s="4">
        <v>200000</v>
      </c>
      <c r="U29" s="6" t="e">
        <f>T29*S29</f>
        <v>#DIV/0!</v>
      </c>
    </row>
    <row r="30" spans="1:21">
      <c r="A30" s="5">
        <v>25</v>
      </c>
      <c r="B30" s="3" t="s">
        <v>48</v>
      </c>
      <c r="C30" s="3">
        <v>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 t="e">
        <f>AVERAGE(E30:P30)</f>
        <v>#DIV/0!</v>
      </c>
      <c r="R30" s="3" t="e">
        <f>IF(Q30&gt;=90,"Sangat Baik",IF(Q30&gt;=80,"Baik",IF(Q30&gt;=70,"Cukup",IF(Q30&gt;=60,"Kurang","Perlu Pembinaan"))))</f>
        <v>#DIV/0!</v>
      </c>
      <c r="S30" s="3" t="e">
        <f>IF(Q30&gt;=90,100%,IF(Q30&gt;=80,90%,IF(Q30&gt;=70,80%,IF(Q30&gt;=60,70%,IF(Q30&gt;=50,60%,IF(Q30&gt;=40,50%,IF(Q30&gt;=30,40%,30%)))))))</f>
        <v>#DIV/0!</v>
      </c>
      <c r="T30" s="4">
        <v>200000</v>
      </c>
      <c r="U30" s="6" t="e">
        <f>T30*S30</f>
        <v>#DIV/0!</v>
      </c>
    </row>
    <row r="31" spans="1:21">
      <c r="A31" s="5">
        <v>26</v>
      </c>
      <c r="B31" s="3" t="s">
        <v>49</v>
      </c>
      <c r="C31" s="3">
        <v>0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 t="e">
        <f>AVERAGE(E31:P31)</f>
        <v>#DIV/0!</v>
      </c>
      <c r="R31" s="3" t="e">
        <f>IF(Q31&gt;=90,"Sangat Baik",IF(Q31&gt;=80,"Baik",IF(Q31&gt;=70,"Cukup",IF(Q31&gt;=60,"Kurang","Perlu Pembinaan"))))</f>
        <v>#DIV/0!</v>
      </c>
      <c r="S31" s="3" t="e">
        <f>IF(Q31&gt;=90,100%,IF(Q31&gt;=80,90%,IF(Q31&gt;=70,80%,IF(Q31&gt;=60,70%,IF(Q31&gt;=50,60%,IF(Q31&gt;=40,50%,IF(Q31&gt;=30,40%,30%)))))))</f>
        <v>#DIV/0!</v>
      </c>
      <c r="T31" s="4">
        <v>200000</v>
      </c>
      <c r="U31" s="6" t="e">
        <f>T31*S31</f>
        <v>#DIV/0!</v>
      </c>
    </row>
    <row r="32" spans="1:21">
      <c r="A32" s="5">
        <v>27</v>
      </c>
      <c r="B32" s="3" t="s">
        <v>50</v>
      </c>
      <c r="C32" s="3">
        <v>0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 t="e">
        <f>AVERAGE(E32:P32)</f>
        <v>#DIV/0!</v>
      </c>
      <c r="R32" s="3" t="e">
        <f>IF(Q32&gt;=90,"Sangat Baik",IF(Q32&gt;=80,"Baik",IF(Q32&gt;=70,"Cukup",IF(Q32&gt;=60,"Kurang","Perlu Pembinaan"))))</f>
        <v>#DIV/0!</v>
      </c>
      <c r="S32" s="3" t="e">
        <f>IF(Q32&gt;=90,100%,IF(Q32&gt;=80,90%,IF(Q32&gt;=70,80%,IF(Q32&gt;=60,70%,IF(Q32&gt;=50,60%,IF(Q32&gt;=40,50%,IF(Q32&gt;=30,40%,30%)))))))</f>
        <v>#DIV/0!</v>
      </c>
      <c r="T32" s="4">
        <v>200000</v>
      </c>
      <c r="U32" s="6" t="e">
        <f>T32*S32</f>
        <v>#DIV/0!</v>
      </c>
    </row>
    <row r="33" spans="1:21">
      <c r="A33" s="5">
        <v>28</v>
      </c>
      <c r="B33" s="3" t="s">
        <v>51</v>
      </c>
      <c r="C33" s="3">
        <v>0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 t="e">
        <f>AVERAGE(E33:P33)</f>
        <v>#DIV/0!</v>
      </c>
      <c r="R33" s="3" t="e">
        <f>IF(Q33&gt;=90,"Sangat Baik",IF(Q33&gt;=80,"Baik",IF(Q33&gt;=70,"Cukup",IF(Q33&gt;=60,"Kurang","Perlu Pembinaan"))))</f>
        <v>#DIV/0!</v>
      </c>
      <c r="S33" s="3" t="e">
        <f>IF(Q33&gt;=90,100%,IF(Q33&gt;=80,90%,IF(Q33&gt;=70,80%,IF(Q33&gt;=60,70%,IF(Q33&gt;=50,60%,IF(Q33&gt;=40,50%,IF(Q33&gt;=30,40%,30%)))))))</f>
        <v>#DIV/0!</v>
      </c>
      <c r="T33" s="4">
        <v>200000</v>
      </c>
      <c r="U33" s="6" t="e">
        <f>T33*S33</f>
        <v>#DIV/0!</v>
      </c>
    </row>
    <row r="34" spans="1:21">
      <c r="A34" s="5">
        <v>29</v>
      </c>
      <c r="B34" s="3" t="s">
        <v>52</v>
      </c>
      <c r="C34" s="3">
        <v>0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 t="e">
        <f>AVERAGE(E34:P34)</f>
        <v>#DIV/0!</v>
      </c>
      <c r="R34" s="3" t="e">
        <f>IF(Q34&gt;=90,"Sangat Baik",IF(Q34&gt;=80,"Baik",IF(Q34&gt;=70,"Cukup",IF(Q34&gt;=60,"Kurang","Perlu Pembinaan"))))</f>
        <v>#DIV/0!</v>
      </c>
      <c r="S34" s="3" t="e">
        <f>IF(Q34&gt;=90,100%,IF(Q34&gt;=80,90%,IF(Q34&gt;=70,80%,IF(Q34&gt;=60,70%,IF(Q34&gt;=50,60%,IF(Q34&gt;=40,50%,IF(Q34&gt;=30,40%,30%)))))))</f>
        <v>#DIV/0!</v>
      </c>
      <c r="T34" s="4">
        <v>200000</v>
      </c>
      <c r="U34" s="6" t="e">
        <f>T34*S34</f>
        <v>#DIV/0!</v>
      </c>
    </row>
    <row r="35" spans="1:21">
      <c r="A35" s="5">
        <v>30</v>
      </c>
      <c r="B35" s="3" t="s">
        <v>53</v>
      </c>
      <c r="C35" s="3">
        <v>0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 t="e">
        <f>AVERAGE(E35:P35)</f>
        <v>#DIV/0!</v>
      </c>
      <c r="R35" s="3" t="e">
        <f>IF(Q35&gt;=90,"Sangat Baik",IF(Q35&gt;=80,"Baik",IF(Q35&gt;=70,"Cukup",IF(Q35&gt;=60,"Kurang","Perlu Pembinaan"))))</f>
        <v>#DIV/0!</v>
      </c>
      <c r="S35" s="3" t="e">
        <f>IF(Q35&gt;=90,100%,IF(Q35&gt;=80,90%,IF(Q35&gt;=70,80%,IF(Q35&gt;=60,70%,IF(Q35&gt;=50,60%,IF(Q35&gt;=40,50%,IF(Q35&gt;=30,40%,30%)))))))</f>
        <v>#DIV/0!</v>
      </c>
      <c r="T35" s="4">
        <v>200000</v>
      </c>
      <c r="U35" s="6" t="e">
        <f>T35*S35</f>
        <v>#DIV/0!</v>
      </c>
    </row>
    <row r="36" spans="1:21">
      <c r="A36" s="5">
        <v>31</v>
      </c>
      <c r="B36" s="3" t="s">
        <v>54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 t="e">
        <f>AVERAGE(E36:P36)</f>
        <v>#DIV/0!</v>
      </c>
      <c r="R36" s="3" t="e">
        <f>IF(Q36&gt;=90,"Sangat Baik",IF(Q36&gt;=80,"Baik",IF(Q36&gt;=70,"Cukup",IF(Q36&gt;=60,"Kurang","Perlu Pembinaan"))))</f>
        <v>#DIV/0!</v>
      </c>
      <c r="S36" s="3" t="e">
        <f>IF(Q36&gt;=90,100%,IF(Q36&gt;=80,90%,IF(Q36&gt;=70,80%,IF(Q36&gt;=60,70%,IF(Q36&gt;=50,60%,IF(Q36&gt;=40,50%,IF(Q36&gt;=30,40%,30%)))))))</f>
        <v>#DIV/0!</v>
      </c>
      <c r="T36" s="4">
        <v>200000</v>
      </c>
      <c r="U36" s="6" t="e">
        <f>T36*S36</f>
        <v>#DIV/0!</v>
      </c>
    </row>
    <row r="37" spans="1:21">
      <c r="A37" s="5">
        <v>32</v>
      </c>
      <c r="B37" s="3" t="s">
        <v>55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 t="e">
        <f>AVERAGE(E37:P37)</f>
        <v>#DIV/0!</v>
      </c>
      <c r="R37" s="3" t="e">
        <f>IF(Q37&gt;=90,"Sangat Baik",IF(Q37&gt;=80,"Baik",IF(Q37&gt;=70,"Cukup",IF(Q37&gt;=60,"Kurang","Perlu Pembinaan"))))</f>
        <v>#DIV/0!</v>
      </c>
      <c r="S37" s="3" t="e">
        <f>IF(Q37&gt;=90,100%,IF(Q37&gt;=80,90%,IF(Q37&gt;=70,80%,IF(Q37&gt;=60,70%,IF(Q37&gt;=50,60%,IF(Q37&gt;=40,50%,IF(Q37&gt;=30,40%,30%)))))))</f>
        <v>#DIV/0!</v>
      </c>
      <c r="T37" s="4">
        <v>200000</v>
      </c>
      <c r="U37" s="6" t="e">
        <f>T37*S37</f>
        <v>#DIV/0!</v>
      </c>
    </row>
    <row r="38" spans="1:21">
      <c r="A38" s="5">
        <v>33</v>
      </c>
      <c r="B38" s="3" t="s">
        <v>56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 t="e">
        <f>AVERAGE(E38:P38)</f>
        <v>#DIV/0!</v>
      </c>
      <c r="R38" s="3" t="e">
        <f>IF(Q38&gt;=90,"Sangat Baik",IF(Q38&gt;=80,"Baik",IF(Q38&gt;=70,"Cukup",IF(Q38&gt;=60,"Kurang","Perlu Pembinaan"))))</f>
        <v>#DIV/0!</v>
      </c>
      <c r="S38" s="3" t="e">
        <f>IF(Q38&gt;=90,100%,IF(Q38&gt;=80,90%,IF(Q38&gt;=70,80%,IF(Q38&gt;=60,70%,IF(Q38&gt;=50,60%,IF(Q38&gt;=40,50%,IF(Q38&gt;=30,40%,30%)))))))</f>
        <v>#DIV/0!</v>
      </c>
      <c r="T38" s="4">
        <v>200000</v>
      </c>
      <c r="U38" s="6" t="e">
        <f>T38*S38</f>
        <v>#DIV/0!</v>
      </c>
    </row>
    <row r="39" spans="1:21">
      <c r="A39" s="5">
        <v>34</v>
      </c>
      <c r="B39" s="3" t="s">
        <v>57</v>
      </c>
      <c r="C39" s="3">
        <v>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 t="e">
        <f>AVERAGE(E39:P39)</f>
        <v>#DIV/0!</v>
      </c>
      <c r="R39" s="3" t="e">
        <f>IF(Q39&gt;=90,"Sangat Baik",IF(Q39&gt;=80,"Baik",IF(Q39&gt;=70,"Cukup",IF(Q39&gt;=60,"Kurang","Perlu Pembinaan"))))</f>
        <v>#DIV/0!</v>
      </c>
      <c r="S39" s="3" t="e">
        <f>IF(Q39&gt;=90,100%,IF(Q39&gt;=80,90%,IF(Q39&gt;=70,80%,IF(Q39&gt;=60,70%,IF(Q39&gt;=50,60%,IF(Q39&gt;=40,50%,IF(Q39&gt;=30,40%,30%)))))))</f>
        <v>#DIV/0!</v>
      </c>
      <c r="T39" s="4">
        <v>200000</v>
      </c>
      <c r="U39" s="6" t="e">
        <f>T39*S39</f>
        <v>#DIV/0!</v>
      </c>
    </row>
    <row r="40" spans="1:21">
      <c r="A40" s="5">
        <v>35</v>
      </c>
      <c r="B40" s="3" t="s">
        <v>58</v>
      </c>
      <c r="C40" s="3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 t="e">
        <f>AVERAGE(E40:P40)</f>
        <v>#DIV/0!</v>
      </c>
      <c r="R40" s="3" t="e">
        <f>IF(Q40&gt;=90,"Sangat Baik",IF(Q40&gt;=80,"Baik",IF(Q40&gt;=70,"Cukup",IF(Q40&gt;=60,"Kurang","Perlu Pembinaan"))))</f>
        <v>#DIV/0!</v>
      </c>
      <c r="S40" s="3" t="e">
        <f>IF(Q40&gt;=90,100%,IF(Q40&gt;=80,90%,IF(Q40&gt;=70,80%,IF(Q40&gt;=60,70%,IF(Q40&gt;=50,60%,IF(Q40&gt;=40,50%,IF(Q40&gt;=30,40%,30%)))))))</f>
        <v>#DIV/0!</v>
      </c>
      <c r="T40" s="4">
        <v>200000</v>
      </c>
      <c r="U40" s="6" t="e">
        <f>T40*S40</f>
        <v>#DIV/0!</v>
      </c>
    </row>
    <row r="41" spans="1:21">
      <c r="A41" s="5">
        <v>36</v>
      </c>
      <c r="B41" s="3" t="s">
        <v>59</v>
      </c>
      <c r="C41" s="3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 t="e">
        <f>AVERAGE(E41:P41)</f>
        <v>#DIV/0!</v>
      </c>
      <c r="R41" s="3" t="e">
        <f>IF(Q41&gt;=90,"Sangat Baik",IF(Q41&gt;=80,"Baik",IF(Q41&gt;=70,"Cukup",IF(Q41&gt;=60,"Kurang","Perlu Pembinaan"))))</f>
        <v>#DIV/0!</v>
      </c>
      <c r="S41" s="3" t="e">
        <f>IF(Q41&gt;=90,100%,IF(Q41&gt;=80,90%,IF(Q41&gt;=70,80%,IF(Q41&gt;=60,70%,IF(Q41&gt;=50,60%,IF(Q41&gt;=40,50%,IF(Q41&gt;=30,40%,30%)))))))</f>
        <v>#DIV/0!</v>
      </c>
      <c r="T41" s="4">
        <v>200000</v>
      </c>
      <c r="U41" s="6" t="e">
        <f>T41*S41</f>
        <v>#DIV/0!</v>
      </c>
    </row>
    <row r="42" spans="1:21">
      <c r="A42" s="5">
        <v>37</v>
      </c>
      <c r="B42" s="3" t="s">
        <v>60</v>
      </c>
      <c r="C42" s="3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 t="e">
        <f>AVERAGE(E42:P42)</f>
        <v>#DIV/0!</v>
      </c>
      <c r="R42" s="3" t="e">
        <f>IF(Q42&gt;=90,"Sangat Baik",IF(Q42&gt;=80,"Baik",IF(Q42&gt;=70,"Cukup",IF(Q42&gt;=60,"Kurang","Perlu Pembinaan"))))</f>
        <v>#DIV/0!</v>
      </c>
      <c r="S42" s="3" t="e">
        <f>IF(Q42&gt;=90,100%,IF(Q42&gt;=80,90%,IF(Q42&gt;=70,80%,IF(Q42&gt;=60,70%,IF(Q42&gt;=50,60%,IF(Q42&gt;=40,50%,IF(Q42&gt;=30,40%,30%)))))))</f>
        <v>#DIV/0!</v>
      </c>
      <c r="T42" s="4">
        <v>200000</v>
      </c>
      <c r="U42" s="6" t="e">
        <f>T42*S42</f>
        <v>#DIV/0!</v>
      </c>
    </row>
    <row r="43" spans="1:21">
      <c r="A43" s="5">
        <v>38</v>
      </c>
      <c r="B43" s="3" t="s">
        <v>61</v>
      </c>
      <c r="C43" s="3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 t="e">
        <f>AVERAGE(E43:P43)</f>
        <v>#DIV/0!</v>
      </c>
      <c r="R43" s="3" t="e">
        <f>IF(Q43&gt;=90,"Sangat Baik",IF(Q43&gt;=80,"Baik",IF(Q43&gt;=70,"Cukup",IF(Q43&gt;=60,"Kurang","Perlu Pembinaan"))))</f>
        <v>#DIV/0!</v>
      </c>
      <c r="S43" s="3" t="e">
        <f>IF(Q43&gt;=90,100%,IF(Q43&gt;=80,90%,IF(Q43&gt;=70,80%,IF(Q43&gt;=60,70%,IF(Q43&gt;=50,60%,IF(Q43&gt;=40,50%,IF(Q43&gt;=30,40%,30%)))))))</f>
        <v>#DIV/0!</v>
      </c>
      <c r="T43" s="4">
        <v>200000</v>
      </c>
      <c r="U43" s="6" t="e">
        <f>T43*S43</f>
        <v>#DIV/0!</v>
      </c>
    </row>
    <row r="44" spans="1:21">
      <c r="A44" s="5">
        <v>39</v>
      </c>
      <c r="B44" s="3" t="s">
        <v>62</v>
      </c>
      <c r="C44" s="3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 t="e">
        <f>AVERAGE(E44:P44)</f>
        <v>#DIV/0!</v>
      </c>
      <c r="R44" s="3" t="e">
        <f>IF(Q44&gt;=90,"Sangat Baik",IF(Q44&gt;=80,"Baik",IF(Q44&gt;=70,"Cukup",IF(Q44&gt;=60,"Kurang","Perlu Pembinaan"))))</f>
        <v>#DIV/0!</v>
      </c>
      <c r="S44" s="3" t="e">
        <f>IF(Q44&gt;=90,100%,IF(Q44&gt;=80,90%,IF(Q44&gt;=70,80%,IF(Q44&gt;=60,70%,IF(Q44&gt;=50,60%,IF(Q44&gt;=40,50%,IF(Q44&gt;=30,40%,30%)))))))</f>
        <v>#DIV/0!</v>
      </c>
      <c r="T44" s="4">
        <v>200000</v>
      </c>
      <c r="U44" s="6" t="e">
        <f>T44*S44</f>
        <v>#DIV/0!</v>
      </c>
    </row>
    <row r="45" spans="1:21">
      <c r="A45" s="5">
        <v>40</v>
      </c>
      <c r="B45" s="3" t="s">
        <v>63</v>
      </c>
      <c r="C45" s="3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 t="e">
        <f>AVERAGE(E45:P45)</f>
        <v>#DIV/0!</v>
      </c>
      <c r="R45" s="3" t="e">
        <f>IF(Q45&gt;=90,"Sangat Baik",IF(Q45&gt;=80,"Baik",IF(Q45&gt;=70,"Cukup",IF(Q45&gt;=60,"Kurang","Perlu Pembinaan"))))</f>
        <v>#DIV/0!</v>
      </c>
      <c r="S45" s="3" t="e">
        <f>IF(Q45&gt;=90,100%,IF(Q45&gt;=80,90%,IF(Q45&gt;=70,80%,IF(Q45&gt;=60,70%,IF(Q45&gt;=50,60%,IF(Q45&gt;=40,50%,IF(Q45&gt;=30,40%,30%)))))))</f>
        <v>#DIV/0!</v>
      </c>
      <c r="T45" s="4">
        <v>200000</v>
      </c>
      <c r="U45" s="6" t="e">
        <f>T45*S45</f>
        <v>#DIV/0!</v>
      </c>
    </row>
    <row r="46" spans="1:21">
      <c r="A46" s="5">
        <v>41</v>
      </c>
      <c r="B46" s="3" t="s">
        <v>64</v>
      </c>
      <c r="C46" s="3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 t="e">
        <f>AVERAGE(E46:P46)</f>
        <v>#DIV/0!</v>
      </c>
      <c r="R46" s="3" t="e">
        <f>IF(Q46&gt;=90,"Sangat Baik",IF(Q46&gt;=80,"Baik",IF(Q46&gt;=70,"Cukup",IF(Q46&gt;=60,"Kurang","Perlu Pembinaan"))))</f>
        <v>#DIV/0!</v>
      </c>
      <c r="S46" s="3" t="e">
        <f>IF(Q46&gt;=90,100%,IF(Q46&gt;=80,90%,IF(Q46&gt;=70,80%,IF(Q46&gt;=60,70%,IF(Q46&gt;=50,60%,IF(Q46&gt;=40,50%,IF(Q46&gt;=30,40%,30%)))))))</f>
        <v>#DIV/0!</v>
      </c>
      <c r="T46" s="4">
        <v>200000</v>
      </c>
      <c r="U46" s="6" t="e">
        <f>T46*S46</f>
        <v>#DIV/0!</v>
      </c>
    </row>
    <row r="47" spans="1:21">
      <c r="A47" s="5">
        <v>42</v>
      </c>
      <c r="B47" s="3" t="s">
        <v>65</v>
      </c>
      <c r="C47" s="3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 t="e">
        <f>AVERAGE(E47:P47)</f>
        <v>#DIV/0!</v>
      </c>
      <c r="R47" s="3" t="e">
        <f>IF(Q47&gt;=90,"Sangat Baik",IF(Q47&gt;=80,"Baik",IF(Q47&gt;=70,"Cukup",IF(Q47&gt;=60,"Kurang","Perlu Pembinaan"))))</f>
        <v>#DIV/0!</v>
      </c>
      <c r="S47" s="3" t="e">
        <f>IF(Q47&gt;=90,100%,IF(Q47&gt;=80,90%,IF(Q47&gt;=70,80%,IF(Q47&gt;=60,70%,IF(Q47&gt;=50,60%,IF(Q47&gt;=40,50%,IF(Q47&gt;=30,40%,30%)))))))</f>
        <v>#DIV/0!</v>
      </c>
      <c r="T47" s="4">
        <v>200000</v>
      </c>
      <c r="U47" s="6" t="e">
        <f>T47*S47</f>
        <v>#DIV/0!</v>
      </c>
    </row>
    <row r="48" spans="1:21">
      <c r="A48" s="5">
        <v>43</v>
      </c>
      <c r="B48" s="3" t="s">
        <v>66</v>
      </c>
      <c r="C48" s="3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 t="e">
        <f>AVERAGE(E48:P48)</f>
        <v>#DIV/0!</v>
      </c>
      <c r="R48" s="3" t="e">
        <f>IF(Q48&gt;=90,"Sangat Baik",IF(Q48&gt;=80,"Baik",IF(Q48&gt;=70,"Cukup",IF(Q48&gt;=60,"Kurang","Perlu Pembinaan"))))</f>
        <v>#DIV/0!</v>
      </c>
      <c r="S48" s="3" t="e">
        <f>IF(Q48&gt;=90,100%,IF(Q48&gt;=80,90%,IF(Q48&gt;=70,80%,IF(Q48&gt;=60,70%,IF(Q48&gt;=50,60%,IF(Q48&gt;=40,50%,IF(Q48&gt;=30,40%,30%)))))))</f>
        <v>#DIV/0!</v>
      </c>
      <c r="T48" s="4">
        <v>200000</v>
      </c>
      <c r="U48" s="6" t="e">
        <f>T48*S48</f>
        <v>#DIV/0!</v>
      </c>
    </row>
    <row r="49" spans="1:21">
      <c r="A49" s="5">
        <v>44</v>
      </c>
      <c r="B49" s="3" t="s">
        <v>67</v>
      </c>
      <c r="C49" s="3">
        <v>0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 t="e">
        <f>AVERAGE(E49:P49)</f>
        <v>#DIV/0!</v>
      </c>
      <c r="R49" s="3" t="e">
        <f>IF(Q49&gt;=90,"Sangat Baik",IF(Q49&gt;=80,"Baik",IF(Q49&gt;=70,"Cukup",IF(Q49&gt;=60,"Kurang","Perlu Pembinaan"))))</f>
        <v>#DIV/0!</v>
      </c>
      <c r="S49" s="3" t="e">
        <f>IF(Q49&gt;=90,100%,IF(Q49&gt;=80,90%,IF(Q49&gt;=70,80%,IF(Q49&gt;=60,70%,IF(Q49&gt;=50,60%,IF(Q49&gt;=40,50%,IF(Q49&gt;=30,40%,30%)))))))</f>
        <v>#DIV/0!</v>
      </c>
      <c r="T49" s="4">
        <v>200000</v>
      </c>
      <c r="U49" s="6" t="e">
        <f>T49*S49</f>
        <v>#DIV/0!</v>
      </c>
    </row>
    <row r="50" spans="1:21">
      <c r="A50" s="5">
        <v>45</v>
      </c>
      <c r="B50" s="3" t="s">
        <v>68</v>
      </c>
      <c r="C50" s="3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 t="e">
        <f>AVERAGE(E50:P50)</f>
        <v>#DIV/0!</v>
      </c>
      <c r="R50" s="3" t="e">
        <f>IF(Q50&gt;=90,"Sangat Baik",IF(Q50&gt;=80,"Baik",IF(Q50&gt;=70,"Cukup",IF(Q50&gt;=60,"Kurang","Perlu Pembinaan"))))</f>
        <v>#DIV/0!</v>
      </c>
      <c r="S50" s="3" t="e">
        <f>IF(Q50&gt;=90,100%,IF(Q50&gt;=80,90%,IF(Q50&gt;=70,80%,IF(Q50&gt;=60,70%,IF(Q50&gt;=50,60%,IF(Q50&gt;=40,50%,IF(Q50&gt;=30,40%,30%)))))))</f>
        <v>#DIV/0!</v>
      </c>
      <c r="T50" s="4">
        <v>200000</v>
      </c>
      <c r="U50" s="6" t="e">
        <f>T50*S50</f>
        <v>#DIV/0!</v>
      </c>
    </row>
    <row r="51" spans="1:21">
      <c r="A51" s="5">
        <v>46</v>
      </c>
      <c r="B51" s="3" t="s">
        <v>69</v>
      </c>
      <c r="C51" s="3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 t="e">
        <f>AVERAGE(E51:P51)</f>
        <v>#DIV/0!</v>
      </c>
      <c r="R51" s="3" t="e">
        <f>IF(Q51&gt;=90,"Sangat Baik",IF(Q51&gt;=80,"Baik",IF(Q51&gt;=70,"Cukup",IF(Q51&gt;=60,"Kurang","Perlu Pembinaan"))))</f>
        <v>#DIV/0!</v>
      </c>
      <c r="S51" s="3" t="e">
        <f>IF(Q51&gt;=90,100%,IF(Q51&gt;=80,90%,IF(Q51&gt;=70,80%,IF(Q51&gt;=60,70%,IF(Q51&gt;=50,60%,IF(Q51&gt;=40,50%,IF(Q51&gt;=30,40%,30%)))))))</f>
        <v>#DIV/0!</v>
      </c>
      <c r="T51" s="4">
        <v>200000</v>
      </c>
      <c r="U51" s="6" t="e">
        <f>T51*S51</f>
        <v>#DIV/0!</v>
      </c>
    </row>
    <row r="52" spans="1:21">
      <c r="A52" s="5">
        <v>47</v>
      </c>
      <c r="B52" s="3" t="s">
        <v>70</v>
      </c>
      <c r="C52" s="3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 t="e">
        <f>AVERAGE(E52:P52)</f>
        <v>#DIV/0!</v>
      </c>
      <c r="R52" s="3" t="e">
        <f>IF(Q52&gt;=90,"Sangat Baik",IF(Q52&gt;=80,"Baik",IF(Q52&gt;=70,"Cukup",IF(Q52&gt;=60,"Kurang","Perlu Pembinaan"))))</f>
        <v>#DIV/0!</v>
      </c>
      <c r="S52" s="3" t="e">
        <f>IF(Q52&gt;=90,100%,IF(Q52&gt;=80,90%,IF(Q52&gt;=70,80%,IF(Q52&gt;=60,70%,IF(Q52&gt;=50,60%,IF(Q52&gt;=40,50%,IF(Q52&gt;=30,40%,30%)))))))</f>
        <v>#DIV/0!</v>
      </c>
      <c r="T52" s="4">
        <v>200000</v>
      </c>
      <c r="U52" s="6" t="e">
        <f>T52*S52</f>
        <v>#DIV/0!</v>
      </c>
    </row>
    <row r="53" spans="1:21">
      <c r="A53" s="5">
        <v>48</v>
      </c>
      <c r="B53" s="3" t="s">
        <v>71</v>
      </c>
      <c r="C53" s="3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 t="e">
        <f>AVERAGE(E53:P53)</f>
        <v>#DIV/0!</v>
      </c>
      <c r="R53" s="3" t="e">
        <f>IF(Q53&gt;=90,"Sangat Baik",IF(Q53&gt;=80,"Baik",IF(Q53&gt;=70,"Cukup",IF(Q53&gt;=60,"Kurang","Perlu Pembinaan"))))</f>
        <v>#DIV/0!</v>
      </c>
      <c r="S53" s="3" t="e">
        <f>IF(Q53&gt;=90,100%,IF(Q53&gt;=80,90%,IF(Q53&gt;=70,80%,IF(Q53&gt;=60,70%,IF(Q53&gt;=50,60%,IF(Q53&gt;=40,50%,IF(Q53&gt;=30,40%,30%)))))))</f>
        <v>#DIV/0!</v>
      </c>
      <c r="T53" s="4">
        <v>200000</v>
      </c>
      <c r="U53" s="6" t="e">
        <f>T53*S53</f>
        <v>#DIV/0!</v>
      </c>
    </row>
    <row r="54" spans="1:21">
      <c r="A54" s="5">
        <v>49</v>
      </c>
      <c r="B54" s="3" t="s">
        <v>72</v>
      </c>
      <c r="C54" s="3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 t="e">
        <f>AVERAGE(E54:P54)</f>
        <v>#DIV/0!</v>
      </c>
      <c r="R54" s="3" t="e">
        <f>IF(Q54&gt;=90,"Sangat Baik",IF(Q54&gt;=80,"Baik",IF(Q54&gt;=70,"Cukup",IF(Q54&gt;=60,"Kurang","Perlu Pembinaan"))))</f>
        <v>#DIV/0!</v>
      </c>
      <c r="S54" s="3" t="e">
        <f>IF(Q54&gt;=90,100%,IF(Q54&gt;=80,90%,IF(Q54&gt;=70,80%,IF(Q54&gt;=60,70%,IF(Q54&gt;=50,60%,IF(Q54&gt;=40,50%,IF(Q54&gt;=30,40%,30%)))))))</f>
        <v>#DIV/0!</v>
      </c>
      <c r="T54" s="4">
        <v>200000</v>
      </c>
      <c r="U54" s="6" t="e">
        <f>T54*S54</f>
        <v>#DIV/0!</v>
      </c>
    </row>
    <row r="55" spans="1:21">
      <c r="A55" s="5">
        <v>50</v>
      </c>
      <c r="B55" s="3" t="s">
        <v>73</v>
      </c>
      <c r="C55" s="3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 t="e">
        <f>AVERAGE(E55:P55)</f>
        <v>#DIV/0!</v>
      </c>
      <c r="R55" s="3" t="e">
        <f>IF(Q55&gt;=90,"Sangat Baik",IF(Q55&gt;=80,"Baik",IF(Q55&gt;=70,"Cukup",IF(Q55&gt;=60,"Kurang","Perlu Pembinaan"))))</f>
        <v>#DIV/0!</v>
      </c>
      <c r="S55" s="3" t="e">
        <f>IF(Q55&gt;=90,100%,IF(Q55&gt;=80,90%,IF(Q55&gt;=70,80%,IF(Q55&gt;=60,70%,IF(Q55&gt;=50,60%,IF(Q55&gt;=40,50%,IF(Q55&gt;=30,40%,30%)))))))</f>
        <v>#DIV/0!</v>
      </c>
      <c r="T55" s="4">
        <v>200000</v>
      </c>
      <c r="U55" s="6" t="e">
        <f>T55*S55</f>
        <v>#DIV/0!</v>
      </c>
    </row>
    <row r="56" spans="1:21">
      <c r="A56" s="5">
        <v>51</v>
      </c>
      <c r="B56" s="3" t="s">
        <v>74</v>
      </c>
      <c r="C56" s="3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 t="e">
        <f>AVERAGE(E56:P56)</f>
        <v>#DIV/0!</v>
      </c>
      <c r="R56" s="3" t="e">
        <f>IF(Q56&gt;=90,"Sangat Baik",IF(Q56&gt;=80,"Baik",IF(Q56&gt;=70,"Cukup",IF(Q56&gt;=60,"Kurang","Perlu Pembinaan"))))</f>
        <v>#DIV/0!</v>
      </c>
      <c r="S56" s="3" t="e">
        <f>IF(Q56&gt;=90,100%,IF(Q56&gt;=80,90%,IF(Q56&gt;=70,80%,IF(Q56&gt;=60,70%,IF(Q56&gt;=50,60%,IF(Q56&gt;=40,50%,IF(Q56&gt;=30,40%,30%)))))))</f>
        <v>#DIV/0!</v>
      </c>
      <c r="T56" s="4">
        <v>200000</v>
      </c>
      <c r="U56" s="6" t="e">
        <f>T56*S56</f>
        <v>#DIV/0!</v>
      </c>
    </row>
    <row r="57" spans="1:21">
      <c r="A57" s="5">
        <v>52</v>
      </c>
      <c r="B57" s="3" t="s">
        <v>75</v>
      </c>
      <c r="C57" s="3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 t="e">
        <f>AVERAGE(E57:P57)</f>
        <v>#DIV/0!</v>
      </c>
      <c r="R57" s="3" t="e">
        <f>IF(Q57&gt;=90,"Sangat Baik",IF(Q57&gt;=80,"Baik",IF(Q57&gt;=70,"Cukup",IF(Q57&gt;=60,"Kurang","Perlu Pembinaan"))))</f>
        <v>#DIV/0!</v>
      </c>
      <c r="S57" s="3" t="e">
        <f>IF(Q57&gt;=90,100%,IF(Q57&gt;=80,90%,IF(Q57&gt;=70,80%,IF(Q57&gt;=60,70%,IF(Q57&gt;=50,60%,IF(Q57&gt;=40,50%,IF(Q57&gt;=30,40%,30%)))))))</f>
        <v>#DIV/0!</v>
      </c>
      <c r="T57" s="4">
        <v>200000</v>
      </c>
      <c r="U57" s="6" t="e">
        <f>T57*S57</f>
        <v>#DIV/0!</v>
      </c>
    </row>
    <row r="58" spans="1:21">
      <c r="A58" s="5">
        <v>53</v>
      </c>
      <c r="B58" s="3" t="s">
        <v>76</v>
      </c>
      <c r="C58" s="3">
        <v>0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 t="e">
        <f>AVERAGE(E58:P58)</f>
        <v>#DIV/0!</v>
      </c>
      <c r="R58" s="3" t="e">
        <f>IF(Q58&gt;=90,"Sangat Baik",IF(Q58&gt;=80,"Baik",IF(Q58&gt;=70,"Cukup",IF(Q58&gt;=60,"Kurang","Perlu Pembinaan"))))</f>
        <v>#DIV/0!</v>
      </c>
      <c r="S58" s="3" t="e">
        <f>IF(Q58&gt;=90,100%,IF(Q58&gt;=80,90%,IF(Q58&gt;=70,80%,IF(Q58&gt;=60,70%,IF(Q58&gt;=50,60%,IF(Q58&gt;=40,50%,IF(Q58&gt;=30,40%,30%)))))))</f>
        <v>#DIV/0!</v>
      </c>
      <c r="T58" s="4">
        <v>200000</v>
      </c>
      <c r="U58" s="6" t="e">
        <f>T58*S58</f>
        <v>#DIV/0!</v>
      </c>
    </row>
    <row r="59" spans="1:21">
      <c r="A59" s="5">
        <v>54</v>
      </c>
      <c r="B59" s="3" t="s">
        <v>77</v>
      </c>
      <c r="C59" s="3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 t="e">
        <f>AVERAGE(E59:P59)</f>
        <v>#DIV/0!</v>
      </c>
      <c r="R59" s="3" t="e">
        <f>IF(Q59&gt;=90,"Sangat Baik",IF(Q59&gt;=80,"Baik",IF(Q59&gt;=70,"Cukup",IF(Q59&gt;=60,"Kurang","Perlu Pembinaan"))))</f>
        <v>#DIV/0!</v>
      </c>
      <c r="S59" s="3" t="e">
        <f>IF(Q59&gt;=90,100%,IF(Q59&gt;=80,90%,IF(Q59&gt;=70,80%,IF(Q59&gt;=60,70%,IF(Q59&gt;=50,60%,IF(Q59&gt;=40,50%,IF(Q59&gt;=30,40%,30%)))))))</f>
        <v>#DIV/0!</v>
      </c>
      <c r="T59" s="4">
        <v>200000</v>
      </c>
      <c r="U59" s="6" t="e">
        <f>T59*S59</f>
        <v>#DIV/0!</v>
      </c>
    </row>
    <row r="60" spans="1:21">
      <c r="A60" s="5">
        <v>55</v>
      </c>
      <c r="B60" s="3" t="s">
        <v>78</v>
      </c>
      <c r="C60" s="3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 t="e">
        <f>AVERAGE(E60:P60)</f>
        <v>#DIV/0!</v>
      </c>
      <c r="R60" s="3" t="e">
        <f>IF(Q60&gt;=90,"Sangat Baik",IF(Q60&gt;=80,"Baik",IF(Q60&gt;=70,"Cukup",IF(Q60&gt;=60,"Kurang","Perlu Pembinaan"))))</f>
        <v>#DIV/0!</v>
      </c>
      <c r="S60" s="3" t="e">
        <f>IF(Q60&gt;=90,100%,IF(Q60&gt;=80,90%,IF(Q60&gt;=70,80%,IF(Q60&gt;=60,70%,IF(Q60&gt;=50,60%,IF(Q60&gt;=40,50%,IF(Q60&gt;=30,40%,30%)))))))</f>
        <v>#DIV/0!</v>
      </c>
      <c r="T60" s="4">
        <v>200000</v>
      </c>
      <c r="U60" s="6" t="e">
        <f>T60*S60</f>
        <v>#DIV/0!</v>
      </c>
    </row>
    <row r="61" spans="1:21">
      <c r="A61" s="5">
        <v>56</v>
      </c>
      <c r="B61" s="3" t="s">
        <v>79</v>
      </c>
      <c r="C61" s="3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 t="e">
        <f>AVERAGE(E61:P61)</f>
        <v>#DIV/0!</v>
      </c>
      <c r="R61" s="3" t="e">
        <f>IF(Q61&gt;=90,"Sangat Baik",IF(Q61&gt;=80,"Baik",IF(Q61&gt;=70,"Cukup",IF(Q61&gt;=60,"Kurang","Perlu Pembinaan"))))</f>
        <v>#DIV/0!</v>
      </c>
      <c r="S61" s="3" t="e">
        <f>IF(Q61&gt;=90,100%,IF(Q61&gt;=80,90%,IF(Q61&gt;=70,80%,IF(Q61&gt;=60,70%,IF(Q61&gt;=50,60%,IF(Q61&gt;=40,50%,IF(Q61&gt;=30,40%,30%)))))))</f>
        <v>#DIV/0!</v>
      </c>
      <c r="T61" s="4">
        <v>200000</v>
      </c>
      <c r="U61" s="6" t="e">
        <f>T61*S61</f>
        <v>#DIV/0!</v>
      </c>
    </row>
    <row r="62" spans="1:21">
      <c r="A62" s="5">
        <v>57</v>
      </c>
      <c r="B62" s="3" t="s">
        <v>80</v>
      </c>
      <c r="C62" s="3">
        <v>0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 t="e">
        <f>AVERAGE(E62:P62)</f>
        <v>#DIV/0!</v>
      </c>
      <c r="R62" s="3" t="e">
        <f>IF(Q62&gt;=90,"Sangat Baik",IF(Q62&gt;=80,"Baik",IF(Q62&gt;=70,"Cukup",IF(Q62&gt;=60,"Kurang","Perlu Pembinaan"))))</f>
        <v>#DIV/0!</v>
      </c>
      <c r="S62" s="3" t="e">
        <f>IF(Q62&gt;=90,100%,IF(Q62&gt;=80,90%,IF(Q62&gt;=70,80%,IF(Q62&gt;=60,70%,IF(Q62&gt;=50,60%,IF(Q62&gt;=40,50%,IF(Q62&gt;=30,40%,30%)))))))</f>
        <v>#DIV/0!</v>
      </c>
      <c r="T62" s="4">
        <v>200000</v>
      </c>
      <c r="U62" s="6" t="e">
        <f>T62*S62</f>
        <v>#DIV/0!</v>
      </c>
    </row>
    <row r="63" spans="1:21">
      <c r="A63" s="5">
        <v>58</v>
      </c>
      <c r="B63" s="3" t="s">
        <v>81</v>
      </c>
      <c r="C63" s="3">
        <v>0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 t="e">
        <f>AVERAGE(E63:P63)</f>
        <v>#DIV/0!</v>
      </c>
      <c r="R63" s="3" t="e">
        <f>IF(Q63&gt;=90,"Sangat Baik",IF(Q63&gt;=80,"Baik",IF(Q63&gt;=70,"Cukup",IF(Q63&gt;=60,"Kurang","Perlu Pembinaan"))))</f>
        <v>#DIV/0!</v>
      </c>
      <c r="S63" s="3" t="e">
        <f>IF(Q63&gt;=90,100%,IF(Q63&gt;=80,90%,IF(Q63&gt;=70,80%,IF(Q63&gt;=60,70%,IF(Q63&gt;=50,60%,IF(Q63&gt;=40,50%,IF(Q63&gt;=30,40%,30%)))))))</f>
        <v>#DIV/0!</v>
      </c>
      <c r="T63" s="4">
        <v>200000</v>
      </c>
      <c r="U63" s="6" t="e">
        <f>T63*S63</f>
        <v>#DIV/0!</v>
      </c>
    </row>
    <row r="64" spans="1:21">
      <c r="A64" s="5">
        <v>59</v>
      </c>
      <c r="B64" s="3" t="s">
        <v>82</v>
      </c>
      <c r="C64" s="3">
        <v>0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 t="e">
        <f>AVERAGE(E64:P64)</f>
        <v>#DIV/0!</v>
      </c>
      <c r="R64" s="3" t="e">
        <f>IF(Q64&gt;=90,"Sangat Baik",IF(Q64&gt;=80,"Baik",IF(Q64&gt;=70,"Cukup",IF(Q64&gt;=60,"Kurang","Perlu Pembinaan"))))</f>
        <v>#DIV/0!</v>
      </c>
      <c r="S64" s="3" t="e">
        <f>IF(Q64&gt;=90,100%,IF(Q64&gt;=80,90%,IF(Q64&gt;=70,80%,IF(Q64&gt;=60,70%,IF(Q64&gt;=50,60%,IF(Q64&gt;=40,50%,IF(Q64&gt;=30,40%,30%)))))))</f>
        <v>#DIV/0!</v>
      </c>
      <c r="T64" s="4">
        <v>200000</v>
      </c>
      <c r="U64" s="6" t="e">
        <f>T64*S64</f>
        <v>#DIV/0!</v>
      </c>
    </row>
    <row r="65" spans="1:21">
      <c r="A65" s="5">
        <v>60</v>
      </c>
      <c r="B65" s="3" t="s">
        <v>83</v>
      </c>
      <c r="C65" s="3">
        <v>0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 t="e">
        <f>AVERAGE(E65:P65)</f>
        <v>#DIV/0!</v>
      </c>
      <c r="R65" s="3" t="e">
        <f>IF(Q65&gt;=90,"Sangat Baik",IF(Q65&gt;=80,"Baik",IF(Q65&gt;=70,"Cukup",IF(Q65&gt;=60,"Kurang","Perlu Pembinaan"))))</f>
        <v>#DIV/0!</v>
      </c>
      <c r="S65" s="3" t="e">
        <f>IF(Q65&gt;=90,100%,IF(Q65&gt;=80,90%,IF(Q65&gt;=70,80%,IF(Q65&gt;=60,70%,IF(Q65&gt;=50,60%,IF(Q65&gt;=40,50%,IF(Q65&gt;=30,40%,30%)))))))</f>
        <v>#DIV/0!</v>
      </c>
      <c r="T65" s="4">
        <v>200000</v>
      </c>
      <c r="U65" s="6" t="e">
        <f>T65*S65</f>
        <v>#DIV/0!</v>
      </c>
    </row>
    <row r="66" spans="1:21">
      <c r="A66" s="5">
        <v>61</v>
      </c>
      <c r="B66" s="3" t="s">
        <v>84</v>
      </c>
      <c r="C66" s="3">
        <v>0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 t="e">
        <f>AVERAGE(E66:P66)</f>
        <v>#DIV/0!</v>
      </c>
      <c r="R66" s="3" t="e">
        <f>IF(Q66&gt;=90,"Sangat Baik",IF(Q66&gt;=80,"Baik",IF(Q66&gt;=70,"Cukup",IF(Q66&gt;=60,"Kurang","Perlu Pembinaan"))))</f>
        <v>#DIV/0!</v>
      </c>
      <c r="S66" s="3" t="e">
        <f>IF(Q66&gt;=90,100%,IF(Q66&gt;=80,90%,IF(Q66&gt;=70,80%,IF(Q66&gt;=60,70%,IF(Q66&gt;=50,60%,IF(Q66&gt;=40,50%,IF(Q66&gt;=30,40%,30%)))))))</f>
        <v>#DIV/0!</v>
      </c>
      <c r="T66" s="4">
        <v>200000</v>
      </c>
      <c r="U66" s="6" t="e">
        <f>T66*S66</f>
        <v>#DIV/0!</v>
      </c>
    </row>
    <row r="67" spans="1:21">
      <c r="A67" s="5">
        <v>62</v>
      </c>
      <c r="B67" s="3" t="s">
        <v>85</v>
      </c>
      <c r="C67" s="3">
        <v>0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 t="e">
        <f>AVERAGE(E67:P67)</f>
        <v>#DIV/0!</v>
      </c>
      <c r="R67" s="3" t="e">
        <f>IF(Q67&gt;=90,"Sangat Baik",IF(Q67&gt;=80,"Baik",IF(Q67&gt;=70,"Cukup",IF(Q67&gt;=60,"Kurang","Perlu Pembinaan"))))</f>
        <v>#DIV/0!</v>
      </c>
      <c r="S67" s="3" t="e">
        <f>IF(Q67&gt;=90,100%,IF(Q67&gt;=80,90%,IF(Q67&gt;=70,80%,IF(Q67&gt;=60,70%,IF(Q67&gt;=50,60%,IF(Q67&gt;=40,50%,IF(Q67&gt;=30,40%,30%)))))))</f>
        <v>#DIV/0!</v>
      </c>
      <c r="T67" s="4">
        <v>200000</v>
      </c>
      <c r="U67" s="6" t="e">
        <f>T67*S67</f>
        <v>#DIV/0!</v>
      </c>
    </row>
    <row r="68" spans="1:21">
      <c r="A68" s="5">
        <v>63</v>
      </c>
      <c r="B68" s="3" t="s">
        <v>86</v>
      </c>
      <c r="C68" s="3">
        <v>0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 t="e">
        <f>AVERAGE(E68:P68)</f>
        <v>#DIV/0!</v>
      </c>
      <c r="R68" s="3" t="e">
        <f>IF(Q68&gt;=90,"Sangat Baik",IF(Q68&gt;=80,"Baik",IF(Q68&gt;=70,"Cukup",IF(Q68&gt;=60,"Kurang","Perlu Pembinaan"))))</f>
        <v>#DIV/0!</v>
      </c>
      <c r="S68" s="3" t="e">
        <f>IF(Q68&gt;=90,100%,IF(Q68&gt;=80,90%,IF(Q68&gt;=70,80%,IF(Q68&gt;=60,70%,IF(Q68&gt;=50,60%,IF(Q68&gt;=40,50%,IF(Q68&gt;=30,40%,30%)))))))</f>
        <v>#DIV/0!</v>
      </c>
      <c r="T68" s="4">
        <v>200000</v>
      </c>
      <c r="U68" s="6" t="e">
        <f>T68*S68</f>
        <v>#DIV/0!</v>
      </c>
    </row>
  </sheetData>
  <mergeCells>
    <mergeCell ref="A1:U1"/>
    <mergeCell ref="A2:U2"/>
    <mergeCell ref="A3:U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2026-09-08T03:19:42+00:00</dcterms:created>
  <dcterms:modified xsi:type="dcterms:W3CDTF">2026-09-08T03:19:42+00:00</dcterms:modified>
  <dc:title>Untitled Spreadsheet</dc:title>
  <dc:description/>
  <dc:subject/>
  <cp:keywords/>
  <cp:category/>
</cp:coreProperties>
</file>